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文档" sheetId="2" r:id="rId5"/>
    <sheet name="软件开发任务" sheetId="3" r:id="rId6"/>
    <sheet name="总体任务计划表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<sst xmlns="http://schemas.openxmlformats.org/spreadsheetml/2006/main" count="205" uniqueCount="205">
  <si>
    <t xml:space="preserve">  </t>
  </si>
  <si>
    <t xml:space="preserve">文档名称</t>
  </si>
  <si>
    <t xml:space="preserve">文档链接</t>
  </si>
  <si>
    <t xml:space="preserve">会议纪要</t>
  </si>
  <si>
    <t xml:space="preserve">产品需求文档</t>
  </si>
  <si>
    <t/>
    <r>
      <rPr>
        <u val="single"/>
        <color theme="10"/>
      </rPr>
      <t xml:space="preserve">SentryV (Spotter +Hunter V)产品需求文档 </t>
    </r>
    <r>
      <rPr/>
      <t xml:space="preserve"> </t>
    </r>
  </si>
  <si>
    <t/>
    <r>
      <rPr>
        <u val="single"/>
        <color theme="10"/>
      </rPr>
      <t>【天盾】车载指控需求20260622</t>
    </r>
    <r>
      <rPr/>
      <t xml:space="preserve"> </t>
    </r>
  </si>
  <si>
    <t/>
    <r>
      <rPr>
        <u val="single"/>
        <color theme="10"/>
      </rPr>
      <t xml:space="preserve">智能纪要：SFL300天盾需求评审 2026年6月29日</t>
    </r>
    <r>
      <rPr/>
      <t xml:space="preserve"> </t>
    </r>
  </si>
  <si>
    <t/>
    <r>
      <rPr>
        <u val="single"/>
        <color theme="10"/>
      </rPr>
      <t xml:space="preserve">SFL300下的Hunter V 设备级开发需求V 0.2</t>
    </r>
    <r>
      <rPr/>
      <t xml:space="preserve"> </t>
    </r>
  </si>
  <si>
    <t/>
    <r>
      <rPr>
        <u val="single"/>
        <color theme="10"/>
      </rPr>
      <t xml:space="preserve">智能纪要：Hunter V天盾开发需求对齐 2026年7月1日</t>
    </r>
    <r>
      <rPr/>
      <t xml:space="preserve"> </t>
    </r>
  </si>
  <si>
    <t/>
    <r>
      <rPr>
        <u val="single"/>
        <color theme="10"/>
      </rPr>
      <t xml:space="preserve">Spotter 产品需求文档 </t>
    </r>
    <r>
      <rPr/>
      <t xml:space="preserve"> </t>
    </r>
  </si>
  <si>
    <t/>
    <r>
      <rPr>
        <u val="single"/>
        <color theme="10"/>
      </rPr>
      <t xml:space="preserve">智能纪要：SFL300中的Spotter软件需求评审会 2026年7月1日</t>
    </r>
    <r>
      <rPr/>
      <t xml:space="preserve"> </t>
    </r>
  </si>
  <si>
    <t xml:space="preserve">软件系统文档</t>
  </si>
  <si>
    <t/>
    <r>
      <rPr>
        <u val="single"/>
        <color theme="10"/>
      </rPr>
      <t>SFL300软件系统</t>
    </r>
    <r>
      <rPr/>
      <t xml:space="preserve"> </t>
    </r>
  </si>
  <si>
    <t/>
    <r>
      <rPr>
        <u val="single"/>
        <color theme="10"/>
      </rPr>
      <t xml:space="preserve">智能纪要：SFL300--软件系统方案设计评审 2026年6月25日</t>
    </r>
    <r>
      <rPr/>
      <t xml:space="preserve"> </t>
    </r>
  </si>
  <si>
    <t xml:space="preserve">硬件系统文档</t>
  </si>
  <si>
    <t/>
    <r>
      <rPr>
        <u val="single"/>
        <color theme="10"/>
      </rPr>
      <t>SFL300硬件系统方案</t>
    </r>
    <r>
      <rPr/>
      <t xml:space="preserve"> </t>
    </r>
  </si>
  <si>
    <t xml:space="preserve">软件设计文档</t>
  </si>
  <si>
    <t/>
    <r>
      <rPr>
        <u val="single"/>
        <color theme="10"/>
      </rPr>
      <t>SVH101_Design.md</t>
    </r>
    <r>
      <rPr/>
      <t xml:space="preserve"> </t>
    </r>
  </si>
  <si>
    <t xml:space="preserve">任务内容</t>
  </si>
  <si>
    <t xml:space="preserve">优先级</t>
  </si>
  <si>
    <t xml:space="preserve">领域</t>
  </si>
  <si>
    <t xml:space="preserve">责任人</t>
  </si>
  <si>
    <t xml:space="preserve">计划开始时间</t>
  </si>
  <si>
    <t xml:space="preserve">计划完成时间</t>
  </si>
  <si>
    <t xml:space="preserve">预计工期（d）</t>
  </si>
  <si>
    <t xml:space="preserve">实际开始</t>
  </si>
  <si>
    <t xml:space="preserve">实际结束</t>
  </si>
  <si>
    <t xml:space="preserve">完成度</t>
  </si>
  <si>
    <t xml:space="preserve">当前进展</t>
  </si>
  <si>
    <t xml:space="preserve">备注</t>
  </si>
  <si>
    <t xml:space="preserve">spotter开发</t>
  </si>
  <si>
    <t xml:space="preserve">UX/UI设计与评审</t>
  </si>
  <si>
    <t xml:space="preserve">UX</t>
  </si>
  <si>
    <t/>
    <r>
      <rPr>
        <u val="single"/>
        <color theme="10"/>
      </rPr>
      <t>@石力铭</t>
    </r>
  </si>
  <si>
    <t xml:space="preserve">进行中</t>
  </si>
  <si>
    <t xml:space="preserve">Spotter上云：系统基础功能</t>
  </si>
  <si>
    <t xml:space="preserve">P0</t>
  </si>
  <si>
    <t xml:space="preserve">设备连接</t>
  </si>
  <si>
    <t xml:space="preserve">嵌入式</t>
  </si>
  <si>
    <t xml:space="preserve">已完成</t>
  </si>
  <si>
    <t xml:space="preserve">设备注册：主设备和子设备注册，新增 1 ~ 4 个小雷达</t>
  </si>
  <si>
    <t/>
    <r>
      <rPr>
        <b val="false"/>
        <i val="false"/>
        <strike val="false"/>
        <sz val="10"/>
        <color/>
      </rPr>
      <t xml:space="preserve">设备拓扑上报：新增 1 ~ 4 个小雷达</t>
    </r>
    <r>
      <rPr>
        <b val="false"/>
        <i val="false"/>
        <strike val="false"/>
        <sz val="10"/>
        <color rgb="FFF54A45"/>
      </rPr>
      <t>（未实现）</t>
    </r>
  </si>
  <si>
    <t/>
    <r>
      <rPr>
        <u val="single"/>
        <color theme="10"/>
      </rPr>
      <t>@陈俊臣</t>
    </r>
  </si>
  <si>
    <t xml:space="preserve">未开始</t>
  </si>
  <si>
    <t/>
    <r>
      <rPr>
        <b val="false"/>
        <i val="false"/>
        <strike val="false"/>
        <sz val="10"/>
        <color/>
      </rPr>
      <t>主设备状态上报：新增姿态和位置字段上报，车载模式下换成惯导数据实时坐标上报</t>
    </r>
    <r>
      <rPr>
        <b val="false"/>
        <i val="false"/>
        <strike val="false"/>
        <sz val="10"/>
        <color rgb="FFF54A45"/>
      </rPr>
      <t>（未实现）</t>
    </r>
  </si>
  <si>
    <t/>
    <r>
      <rPr>
        <u val="single"/>
        <color theme="10"/>
      </rPr>
      <t>@陈俊臣</t>
    </r>
  </si>
  <si>
    <t xml:space="preserve">融合侦测目标数据上报</t>
  </si>
  <si>
    <t xml:space="preserve">视觉目标数据上报</t>
  </si>
  <si>
    <t/>
    <r>
      <rPr>
        <b val="false"/>
        <i val="false"/>
        <strike val="false"/>
        <sz val="10"/>
        <color/>
      </rPr>
      <t xml:space="preserve">无人机黑白名单管理
（1）增删改查黑白名单</t>
    </r>
    <r>
      <rPr>
        <b val="false"/>
        <i val="false"/>
        <strike val="false"/>
        <sz val="10"/>
        <color rgb="FFF54A45"/>
      </rPr>
      <t xml:space="preserve">（未实现）
</t>
    </r>
    <r>
      <rPr>
        <b val="false"/>
        <i val="false"/>
        <strike val="false"/>
        <sz val="10"/>
        <color/>
      </rPr>
      <t xml:space="preserve">（2）黑白名单定时发布给融合算法（已实现）
（3）多级天盾名单同步</t>
    </r>
    <r>
      <rPr>
        <b val="false"/>
        <i val="false"/>
        <strike val="false"/>
        <sz val="10"/>
        <color rgb="FFF54A45"/>
      </rPr>
      <t xml:space="preserve">（未实现）
</t>
    </r>
    <r>
      <rPr>
        <b val="false"/>
        <i val="false"/>
        <strike val="false"/>
        <sz val="10"/>
        <color/>
      </rPr>
      <t>（4）目标名单状态匹配（已实现，融合目标状态已有）</t>
    </r>
  </si>
  <si>
    <t/>
    <r>
      <rPr>
        <u val="single"/>
        <color theme="10"/>
      </rPr>
      <t>@周益辉</t>
    </r>
  </si>
  <si>
    <t/>
    <r>
      <rPr>
        <b val="false"/>
        <i val="false"/>
        <strike val="true"/>
        <sz val="10"/>
        <color/>
      </rPr>
      <t xml:space="preserve">系统 待机，唤醒:
（1）新增小雷达侦测开关控制</t>
    </r>
    <r>
      <rPr>
        <b val="false"/>
        <i val="false"/>
        <strike val="true"/>
        <sz val="10"/>
        <color rgb="FFF54A45"/>
      </rPr>
      <t>（未实现）</t>
    </r>
    <r>
      <rPr>
        <b val="false"/>
        <i val="false"/>
        <strike val="true"/>
        <sz val="10"/>
        <color/>
      </rPr>
      <t xml:space="preserve">（待沟通需求）
（2）新增电侦侦测开关控制</t>
    </r>
    <r>
      <rPr>
        <b val="false"/>
        <i val="false"/>
        <strike val="true"/>
        <sz val="10"/>
        <color rgb="FFF54A45"/>
      </rPr>
      <t>（未实现）</t>
    </r>
  </si>
  <si>
    <t/>
    <r>
      <rPr>
        <u val="single"/>
        <color theme="10"/>
      </rPr>
      <t>@罗建强</t>
    </r>
  </si>
  <si>
    <t/>
    <r>
      <rPr>
        <b val="false"/>
        <i val="false"/>
        <strike val="false"/>
        <sz val="10"/>
        <color/>
      </rPr>
      <t xml:space="preserve">系统参数配置
（1）位置姿态标定参数配置查询  -- 0.5天
（2）设备类型模式切换：  -- 1.5天
       切换固定模式和车载模式（区分固定设备、车载设备），不支持天盾切换配置，由设备底下提前配置好，重启所有软件后生效，上报当前状态给天盾
（3）工作驾驶模式切换：</t>
    </r>
    <r>
      <rPr>
        <b val="false"/>
        <i val="false"/>
        <strike val="false"/>
        <sz val="10"/>
        <color rgb="FFF54A45"/>
      </rPr>
      <t>（未实现）</t>
    </r>
    <r>
      <rPr>
        <b val="false"/>
        <i val="false"/>
        <strike val="false"/>
        <sz val="10"/>
        <color rgb="FFF54A45"/>
      </rPr>
      <t>@罗建强</t>
    </r>
    <r>
      <rPr>
        <b val="false"/>
        <i val="false"/>
        <strike val="false"/>
        <sz val="10"/>
        <color rgb="FFF54A45"/>
      </rPr>
      <t xml:space="preserve"> </t>
    </r>
    <r>
      <rPr>
        <b val="false"/>
        <i val="false"/>
        <strike val="false"/>
        <sz val="10"/>
        <color rgb="FF1F2329"/>
      </rPr>
      <t xml:space="preserve"> -- 2天
</t>
    </r>
    <r>
      <rPr>
        <b val="false"/>
        <i val="false"/>
        <strike val="false"/>
        <sz val="10"/>
        <color/>
      </rPr>
      <t xml:space="preserve">        停止模式：内部操作，和固定式一致
        驾驶运动模式：内部操作，ptz锁死、雷达停止发射、电侦停止协议侦测（可继续频谱测向） </t>
    </r>
    <r>
      <rPr>
        <b val="false"/>
        <i val="false"/>
        <strike val="false"/>
        <sz val="10"/>
        <color rgb="FFF54A45"/>
      </rPr>
      <t>（未实现）</t>
    </r>
  </si>
  <si>
    <t/>
    <r>
      <rPr>
        <u val="single"/>
        <color theme="10"/>
      </rPr>
      <t>@罗建强</t>
    </r>
  </si>
  <si>
    <t/>
    <r>
      <rPr>
        <b val="false"/>
        <i val="false"/>
        <strike val="false"/>
        <sz val="10"/>
        <color/>
      </rPr>
      <t>主设备和天盾配置：系统时间同步</t>
    </r>
    <r>
      <rPr>
        <b val="false"/>
        <i val="false"/>
        <strike val="false"/>
        <sz val="10"/>
        <color rgb="FFF54A45"/>
      </rPr>
      <t xml:space="preserve">（未实现）
</t>
    </r>
    <r>
      <rPr>
        <b val="false"/>
        <i val="false"/>
        <strike val="false"/>
        <sz val="10"/>
        <color/>
      </rPr>
      <t xml:space="preserve">（1）定义上云协议接口设置
（2）支持切换NTP时间源
（3）支持切换本地惯导设备时间源，需实现硬件PPS同步</t>
    </r>
  </si>
  <si>
    <t/>
    <r>
      <rPr>
        <u val="single"/>
        <color theme="10"/>
      </rPr>
      <t>@郑思成</t>
    </r>
  </si>
  <si>
    <t/>
    <r>
      <rPr>
        <b val="false"/>
        <i val="false"/>
        <strike val="false"/>
        <sz val="10"/>
        <color/>
      </rPr>
      <t>其他本地核心功能保持</t>
    </r>
    <r>
      <rPr>
        <b val="false"/>
        <i val="false"/>
        <strike val="false"/>
        <sz val="10"/>
        <color rgb="FFF54A45"/>
      </rPr>
      <t>（暂无需开发）</t>
    </r>
  </si>
  <si>
    <t xml:space="preserve">P1</t>
  </si>
  <si>
    <t xml:space="preserve">Spotter上云：子设备管理 -- 参数配置、查询和控制</t>
  </si>
  <si>
    <t/>
    <r>
      <rPr>
        <b val="false"/>
        <i val="false"/>
        <strike val="false"/>
        <sz val="10"/>
        <color/>
      </rPr>
      <t>子设备：电源盒子接入：</t>
    </r>
    <r>
      <rPr>
        <b val="false"/>
        <i val="false"/>
        <strike val="false"/>
        <sz val="10"/>
        <color rgb="FFF54A45"/>
      </rPr>
      <t xml:space="preserve">（未实现）
</t>
    </r>
    <r>
      <rPr>
        <b val="false"/>
        <i val="false"/>
        <strike val="false"/>
        <sz val="10"/>
        <color/>
      </rPr>
      <t xml:space="preserve">(1) 电源板alink通信接入AGX，AGX控制电源板开关，电源板反馈4路开关状态（1总+3子设备）、9路电流和功率、1路温度信息；(alink)
(2) AGX将天盾控制信息转发电源板，具体有一键全开关+3个子设备开关；（MQTT -&gt; ROS -&gt; ALINK）
(3) AGX将电源板上报信息转发天盾，包含4路开关（1总+3子设备、3路电流和功率、1路温度信息（ALINK -&gt; ROS -&gt; MQTT ）</t>
    </r>
  </si>
  <si>
    <t/>
    <r>
      <rPr>
        <u val="single"/>
        <color theme="10"/>
      </rPr>
      <t>@袁伟健</t>
    </r>
  </si>
  <si>
    <t xml:space="preserve">子设备：惯导设备
（1）设备接入，数据上报ROS</t>
  </si>
  <si>
    <t/>
    <r>
      <rPr>
        <b val="false"/>
        <i val="false"/>
        <strike val="false"/>
        <sz val="10"/>
        <color/>
      </rPr>
      <t xml:space="preserve">子设备：位置+姿态参数 单独配置
（1）电侦Tracer Matrix
（2）小雷达</t>
    </r>
    <r>
      <rPr>
        <b val="false"/>
        <i val="false"/>
        <strike val="false"/>
        <sz val="10"/>
        <color rgb="FFF54A45"/>
      </rPr>
      <t xml:space="preserve">（未实现）
</t>
    </r>
    <r>
      <rPr>
        <b val="false"/>
        <i val="false"/>
        <strike val="false"/>
        <sz val="10"/>
        <color/>
      </rPr>
      <t>（3）ptz</t>
    </r>
  </si>
  <si>
    <t/>
    <r>
      <rPr>
        <u val="single"/>
        <color theme="10"/>
      </rPr>
      <t>@周益辉</t>
    </r>
  </si>
  <si>
    <t/>
    <r>
      <rPr>
        <b val="false"/>
        <i val="false"/>
        <strike val="false"/>
        <sz val="10"/>
        <color/>
      </rPr>
      <t>子设备：位置+姿态参数，一键同步校准功能，驾驶停止后，点击一键同步校准</t>
    </r>
    <r>
      <rPr>
        <b val="false"/>
        <i val="false"/>
        <strike val="false"/>
        <sz val="10"/>
        <color rgb="FFF54A45"/>
      </rPr>
      <t xml:space="preserve">（未实现）
</t>
    </r>
    <r>
      <rPr>
        <b val="false"/>
        <i val="false"/>
        <strike val="false"/>
        <sz val="10"/>
        <color/>
      </rPr>
      <t xml:space="preserve">（1）电侦Tracer Matrix
（2）小雷达
（3）ptz</t>
    </r>
  </si>
  <si>
    <t/>
    <r>
      <rPr>
        <u val="single"/>
        <color theme="10"/>
      </rPr>
      <t>@周益辉</t>
    </r>
  </si>
  <si>
    <t/>
    <r>
      <rPr>
        <b val="false"/>
        <i val="false"/>
        <strike val="false"/>
        <sz val="10"/>
        <color/>
      </rPr>
      <t>子设备：PTZ（视觉功能）</t>
    </r>
    <r>
      <rPr>
        <b val="false"/>
        <i val="false"/>
        <strike val="false"/>
        <sz val="10"/>
        <color rgb="FFF54A45"/>
      </rPr>
      <t xml:space="preserve">Z201(接入新款型和普PTZ)
</t>
    </r>
    <r>
      <rPr>
        <b val="false"/>
        <i val="false"/>
        <strike val="false"/>
        <sz val="10"/>
        <color/>
      </rPr>
      <t xml:space="preserve">（1）心跳状态上报
（2）设备控制：相机控制（变焦、聚焦、ICR 彩色 / 黑白模式切换 等）
（3）设备控制：转台控制</t>
    </r>
    <r>
      <rPr>
        <b val="false"/>
        <i val="false"/>
        <strike val="false"/>
        <sz val="10"/>
        <color rgb="FFF54A45"/>
      </rPr>
      <t>（未实现角速度控制）</t>
    </r>
    <r>
      <rPr>
        <b val="false"/>
        <i val="false"/>
        <strike val="false"/>
        <sz val="10"/>
        <color rgb="FFF54A45"/>
      </rPr>
      <t>@袁伟健</t>
    </r>
  </si>
  <si>
    <t/>
    <r>
      <rPr>
        <u val="single"/>
        <color theme="10"/>
      </rPr>
      <t>@袁伟健</t>
    </r>
  </si>
  <si>
    <t/>
    <r>
      <rPr>
        <b val="false"/>
        <i val="false"/>
        <strike val="false"/>
        <sz val="10"/>
        <color/>
      </rPr>
      <t>子设备：1~4个小雷达（探测功能）</t>
    </r>
    <r>
      <rPr>
        <b val="false"/>
        <i val="false"/>
        <strike val="false"/>
        <sz val="10"/>
        <color rgb="FFF54A45"/>
      </rPr>
      <t xml:space="preserve">（新增）
</t>
    </r>
    <r>
      <rPr>
        <b val="false"/>
        <i val="false"/>
        <strike val="false"/>
        <sz val="10"/>
        <color/>
      </rPr>
      <t>（1）确定小雷达上云协议，小雷达有什么配置参数和控制参数和天盾对接</t>
    </r>
    <r>
      <rPr>
        <b val="false"/>
        <i val="false"/>
        <strike val="false"/>
        <sz val="10"/>
        <color/>
      </rPr>
      <t>@唐齐</t>
    </r>
    <r>
      <rPr>
        <b val="false"/>
        <i val="false"/>
        <strike val="false"/>
        <sz val="10"/>
        <color/>
      </rPr>
      <t>@周金伐</t>
    </r>
    <r>
      <rPr>
        <b val="false"/>
        <i val="false"/>
        <strike val="false"/>
        <sz val="10"/>
        <color/>
      </rPr>
      <t>@陈俊臣</t>
    </r>
    <r>
      <rPr>
        <b val="false"/>
        <i val="false"/>
        <strike val="false"/>
        <sz val="10"/>
        <color/>
      </rPr>
      <t>@李亮</t>
    </r>
  </si>
  <si>
    <t/>
    <r>
      <rPr>
        <u val="single"/>
        <color theme="10"/>
      </rPr>
      <t>@李亮</t>
    </r>
  </si>
  <si>
    <t/>
    <r>
      <rPr>
        <b val="false"/>
        <i val="false"/>
        <strike val="false"/>
        <sz val="10"/>
        <color/>
      </rPr>
      <t>子设备：1~4个小雷达（探测功能）</t>
    </r>
    <r>
      <rPr>
        <b val="false"/>
        <i val="false"/>
        <strike val="false"/>
        <sz val="10"/>
        <color rgb="FFF54A45"/>
      </rPr>
      <t xml:space="preserve">（新增）
</t>
    </r>
    <r>
      <rPr>
        <b val="false"/>
        <i val="false"/>
        <strike val="false"/>
        <sz val="10"/>
        <color/>
      </rPr>
      <t>（1）心跳状态上报天盾</t>
    </r>
    <r>
      <rPr>
        <b val="false"/>
        <i val="false"/>
        <strike val="false"/>
        <sz val="10"/>
        <color rgb="FFF54A45"/>
      </rPr>
      <t>（未实现）</t>
    </r>
    <r>
      <rPr>
        <b val="false"/>
        <i val="false"/>
        <strike val="false"/>
        <sz val="10"/>
        <color rgb="FFF54A45"/>
      </rPr>
      <t>@陈俊臣</t>
    </r>
    <r>
      <rPr>
        <b val="false"/>
        <i val="false"/>
        <strike val="false"/>
        <sz val="10"/>
        <color rgb="FFF54A45"/>
      </rPr>
      <t xml:space="preserve">
</t>
    </r>
    <r>
      <rPr>
        <b val="false"/>
        <i val="false"/>
        <strike val="false"/>
        <sz val="10"/>
        <color/>
      </rPr>
      <t xml:space="preserve">（2）侦测目标：目标点迹输出（给内部融合算法，已实现）
（3）侦测目标：目标航迹生成（融合算法，已实现）
（4）设备控制：天盾启动停止侦测</t>
    </r>
    <r>
      <rPr>
        <b val="false"/>
        <i val="false"/>
        <strike val="false"/>
        <sz val="10"/>
        <color rgb="FFF54A45"/>
      </rPr>
      <t>（未实现）</t>
    </r>
    <r>
      <rPr>
        <b val="false"/>
        <i val="false"/>
        <strike val="false"/>
        <sz val="10"/>
        <color rgb="FFF54A45"/>
      </rPr>
      <t>@陈俊臣</t>
    </r>
    <r>
      <rPr>
        <b val="false"/>
        <i val="false"/>
        <strike val="false"/>
        <sz val="10"/>
        <color rgb="FFF54A45"/>
      </rPr>
      <t xml:space="preserve">
</t>
    </r>
    <r>
      <rPr>
        <b val="false"/>
        <i val="false"/>
        <strike val="false"/>
        <sz val="10"/>
        <color/>
      </rPr>
      <t>（5）设备控制：天盾控制环境自适应开关</t>
    </r>
    <r>
      <rPr>
        <b val="false"/>
        <i val="false"/>
        <strike val="false"/>
        <sz val="10"/>
        <color rgb="FFF54A45"/>
      </rPr>
      <t>（未实现）</t>
    </r>
    <r>
      <rPr>
        <b val="false"/>
        <i val="false"/>
        <strike val="false"/>
        <sz val="10"/>
        <color rgb="FFF54A45"/>
      </rPr>
      <t>@陈俊臣</t>
    </r>
    <r>
      <rPr>
        <b val="false"/>
        <i val="false"/>
        <strike val="false"/>
        <sz val="10"/>
        <color rgb="FFF54A45"/>
      </rPr>
      <t xml:space="preserve">
</t>
    </r>
    <r>
      <rPr>
        <b val="false"/>
        <i val="false"/>
        <strike val="false"/>
        <sz val="10"/>
        <color/>
      </rPr>
      <t>（6）参数配置获取：天盾配置探测范围、波束范围、工作频段、杂波抑制等</t>
    </r>
    <r>
      <rPr>
        <b val="false"/>
        <i val="false"/>
        <strike val="false"/>
        <sz val="10"/>
        <color rgb="FFF54A45"/>
      </rPr>
      <t>（未实现）</t>
    </r>
    <r>
      <rPr>
        <b val="false"/>
        <i val="false"/>
        <strike val="false"/>
        <sz val="10"/>
        <color rgb="FFF54A45"/>
      </rPr>
      <t>@陈俊臣</t>
    </r>
  </si>
  <si>
    <t/>
    <r>
      <rPr>
        <u val="single"/>
        <color theme="10"/>
      </rPr>
      <t>@陈俊臣</t>
    </r>
  </si>
  <si>
    <t/>
    <r>
      <rPr>
        <b val="false"/>
        <i val="false"/>
        <strike val="false"/>
        <sz val="10"/>
        <color/>
      </rPr>
      <t>子设备：1~4个小雷达（探测功能）</t>
    </r>
    <r>
      <rPr>
        <b val="false"/>
        <i val="false"/>
        <strike val="false"/>
        <sz val="10"/>
        <color rgb="FFF54A45"/>
      </rPr>
      <t xml:space="preserve">（新增）
</t>
    </r>
    <r>
      <rPr>
        <b val="false"/>
        <i val="false"/>
        <strike val="false"/>
        <sz val="10"/>
        <color/>
      </rPr>
      <t>（1）雷达新增功能</t>
    </r>
    <r>
      <rPr>
        <b val="false"/>
        <i val="false"/>
        <strike val="false"/>
        <sz val="10"/>
        <color rgb="FFF54A45"/>
      </rPr>
      <t>（待定）</t>
    </r>
    <r>
      <rPr>
        <b val="false"/>
        <i val="false"/>
        <strike val="false"/>
        <sz val="10"/>
        <color/>
      </rPr>
      <t>@唐齐</t>
    </r>
    <r>
      <rPr>
        <b val="false"/>
        <i val="false"/>
        <strike val="false"/>
        <sz val="10"/>
        <color/>
      </rPr>
      <t xml:space="preserve">
（2）雷达已知BUG修复：位置参数配置，缺失小数点第五位精度较大</t>
    </r>
    <r>
      <rPr>
        <b val="false"/>
        <i val="false"/>
        <strike val="false"/>
        <sz val="10"/>
        <color rgb="FFF54A45"/>
      </rPr>
      <t>（未实现）</t>
    </r>
    <r>
      <rPr>
        <b val="false"/>
        <i val="false"/>
        <strike val="false"/>
        <sz val="10"/>
        <color/>
      </rPr>
      <t>@唐齐</t>
    </r>
    <r>
      <rPr>
        <b val="false"/>
        <i val="false"/>
        <strike val="false"/>
        <sz val="10"/>
        <color/>
      </rPr>
      <t xml:space="preserve">
（3）雷达已知BUG修复：控制指令延迟较大</t>
    </r>
    <r>
      <rPr>
        <b val="false"/>
        <i val="false"/>
        <strike val="false"/>
        <sz val="10"/>
        <color rgb="FFF54A45"/>
      </rPr>
      <t>（未实现）</t>
    </r>
    <r>
      <rPr>
        <b val="false"/>
        <i val="false"/>
        <strike val="false"/>
        <sz val="10"/>
        <color/>
      </rPr>
      <t>@唐齐</t>
    </r>
  </si>
  <si>
    <t/>
    <r>
      <rPr>
        <u val="single"/>
        <color theme="10"/>
      </rPr>
      <t>@唐齐</t>
    </r>
  </si>
  <si>
    <t/>
    <r>
      <rPr>
        <b val="false"/>
        <i val="false"/>
        <strike val="false"/>
        <sz val="10"/>
        <color/>
      </rPr>
      <t xml:space="preserve">子设备：电侦Tracer Matrix （协议、频谱与测向功能）</t>
    </r>
    <r>
      <rPr>
        <b val="false"/>
        <i val="false"/>
        <strike val="false"/>
        <sz val="10"/>
        <color rgb="FFF54A45"/>
      </rPr>
      <t xml:space="preserve">（不确定是否有新增功能，和鲍工确认）
</t>
    </r>
    <r>
      <rPr>
        <b val="false"/>
        <i val="false"/>
        <strike val="false"/>
        <sz val="10"/>
        <color/>
      </rPr>
      <t xml:space="preserve">（1）心跳状态上报
（2）侦测目标：协议目标解析与上报
（3）侦测目标：无人机、飞手和起飞点对象输出
（4）侦测机型库管理
（5）协议信号过滤
（6）频谱扫描与信号发现
（7）频谱测向结果输出
（8）频率过滤规则执行</t>
    </r>
  </si>
  <si>
    <t/>
    <r>
      <rPr>
        <u val="single"/>
        <color theme="10"/>
      </rPr>
      <t>@鲍利华</t>
    </r>
  </si>
  <si>
    <t xml:space="preserve">Spotter上云：视频直播、录像存储、图片抓拍功能</t>
  </si>
  <si>
    <t xml:space="preserve">视频通道输出</t>
  </si>
  <si>
    <t xml:space="preserve">视觉目标检测</t>
  </si>
  <si>
    <t xml:space="preserve">视觉目标跟踪</t>
  </si>
  <si>
    <t xml:space="preserve">手动 / 自动锁定目标：视频画面内选目标、或者选地图内目标</t>
  </si>
  <si>
    <t/>
    <r>
      <rPr>
        <b val="false"/>
        <i val="false"/>
        <strike val="false"/>
        <sz val="10"/>
        <color/>
      </rPr>
      <t>视频录像存储服务开发</t>
    </r>
    <r>
      <rPr>
        <b val="false"/>
        <i val="false"/>
        <strike val="false"/>
        <sz val="10"/>
        <color rgb="FFF54A45"/>
      </rPr>
      <t xml:space="preserve">（未实现）
</t>
    </r>
    <r>
      <rPr>
        <b val="false"/>
        <i val="false"/>
        <strike val="false"/>
        <sz val="10"/>
        <color/>
      </rPr>
      <t xml:space="preserve">目前系统支持5个G左右存储，而且EMMC磁盘吞吐量受限
（1）MP4视频录像存储规则定义，按天分目录、文件名，每个视频多少分钟，整体存多久等
（2）实现视频本地录制存储，
（3）提供本地查询，删除等控制接口</t>
    </r>
  </si>
  <si>
    <t xml:space="preserve">P2</t>
  </si>
  <si>
    <t/>
    <r>
      <rPr>
        <b val="false"/>
        <i val="false"/>
        <strike val="false"/>
        <sz val="10"/>
        <color/>
      </rPr>
      <t>图片抓拍方案设计：《图片抓拍和上传服务方案设计文档》</t>
    </r>
    <r>
      <rPr>
        <b val="false"/>
        <i val="false"/>
        <strike val="false"/>
        <sz val="10"/>
        <color rgb="FFF54A45"/>
      </rPr>
      <t xml:space="preserve">（未实现）
</t>
    </r>
    <r>
      <rPr>
        <b val="false"/>
        <i val="false"/>
        <strike val="false"/>
        <sz val="10"/>
        <color/>
      </rPr>
      <t xml:space="preserve">可参考安防 / 边缘抓拍行业通用标准架构方案：
抓拍服务：执行云端下发的抓拍任务→触发抓拍→保存图片→写入事件元数据（图片名若能包含事件信息，则无需额外生成事件元数据）；
上传服务：扫描 / 监听待上传文件、网络检测、重试、断点续传、清理过期文件、上传优先级、上报事件等。
事件ID：{设备SN}_{事件类型}_{云端/本地任务ID}_{任务关联图片序号}_{时间戳ms}_{随机串}
示例：DEV202607140001_1000_sfsfafasq_0_1784052134123_8a72
示例：DEV202607140001_1000_sfsfafasq_1_1784052134124_sawq
目录规范（行业通用分层目录设计）：
/data/capture/
├── pending_upload/        # 待上传：图片+配套json事件元数据，生产端写入这里
├── uploading/             # 正在上传（防止重复消费，文件原子移动）
├── upload_success/        # 上传成功，保留一段时间后自动清理
├── upload_failed/         # 多次重试仍然失败（可保留用于排查，设置最大容量）
└── trash/                 # 过期/磁盘溢出强制清理
</t>
    </r>
  </si>
  <si>
    <t xml:space="preserve">系统</t>
  </si>
  <si>
    <t/>
    <r>
      <rPr>
        <u val="single"/>
        <color theme="10"/>
      </rPr>
      <t>@李亮</t>
    </r>
  </si>
  <si>
    <t/>
    <r>
      <rPr>
        <b val="false"/>
        <i val="false"/>
        <strike val="false"/>
        <sz val="10"/>
        <color/>
      </rPr>
      <t>图片抓拍协议设计：</t>
    </r>
    <r>
      <rPr>
        <b val="false"/>
        <i val="false"/>
        <strike val="false"/>
        <sz val="10"/>
        <color rgb="FFF54A45"/>
      </rPr>
      <t xml:space="preserve">（未实现）
</t>
    </r>
    <r>
      <rPr>
        <b val="false"/>
        <i val="false"/>
        <strike val="false"/>
        <sz val="10"/>
        <color/>
      </rPr>
      <t xml:space="preserve">定义天盾下发的MQTT协议指令接口
定义MQTT协议 -&gt; 转内部ros 的抓拍请求指令接口（相机索引+其他信息等）
定义上报天盾的事件消息协议（事件ID分类、内容、图片在云端对象服务器的地址等）</t>
    </r>
  </si>
  <si>
    <t/>
    <r>
      <rPr>
        <u val="single"/>
        <color theme="10"/>
      </rPr>
      <t>@李亮</t>
    </r>
  </si>
  <si>
    <t/>
    <r>
      <rPr>
        <b val="false"/>
        <i val="false"/>
        <strike val="false"/>
        <sz val="10"/>
        <color/>
      </rPr>
      <t>图片抓拍代码开发：天盾云端手动触发</t>
    </r>
    <r>
      <rPr>
        <b val="false"/>
        <i val="false"/>
        <strike val="false"/>
        <sz val="10"/>
        <color rgb="FFF54A45"/>
      </rPr>
      <t xml:space="preserve">（未实现）
</t>
    </r>
    <r>
      <rPr>
        <b val="false"/>
        <i val="false"/>
        <strike val="false"/>
        <sz val="10"/>
        <color/>
      </rPr>
      <t xml:space="preserve">（1）接收上云MQTT协议，转ros发布到ptz_service服务
（2）ptz_service抓拍成功，按照规则命名，将图片放到本地存储目录</t>
    </r>
  </si>
  <si>
    <t/>
    <r>
      <rPr>
        <u val="single"/>
        <color theme="10"/>
      </rPr>
      <t>@袁伟健</t>
    </r>
  </si>
  <si>
    <t/>
    <r>
      <rPr>
        <b val="false"/>
        <i val="false"/>
        <strike val="false"/>
        <sz val="10"/>
        <color/>
      </rPr>
      <t>图片抓拍代码开发：本地自动识别目标事件触发</t>
    </r>
    <r>
      <rPr>
        <b val="false"/>
        <i val="false"/>
        <strike val="false"/>
        <sz val="10"/>
        <color rgb="FFF54A45"/>
      </rPr>
      <t xml:space="preserve">（未实现）
</t>
    </r>
    <r>
      <rPr>
        <b val="false"/>
        <i val="false"/>
        <strike val="false"/>
        <sz val="10"/>
        <color/>
      </rPr>
      <t xml:space="preserve">（1）抓拍事件及触发场景条件：首次锁定目标瞬间截图一张，后续不重复
（2）AI服务抓拍成功，按照规则命名，把图片放到本地存储目录 </t>
    </r>
  </si>
  <si>
    <t xml:space="preserve">嵌入式&amp;算法</t>
  </si>
  <si>
    <t/>
    <r>
      <rPr>
        <u val="single"/>
        <color theme="10"/>
      </rPr>
      <t>@黄冠文</t>
    </r>
  </si>
  <si>
    <t/>
    <r>
      <rPr>
        <b val="false"/>
        <i val="false"/>
        <strike val="false"/>
        <sz val="10"/>
        <color/>
      </rPr>
      <t>媒体文件上传服务开发（暂时仅图片文件）（对象存储服务器：先做MinIO、后做华为OBS）</t>
    </r>
    <r>
      <rPr>
        <b val="false"/>
        <i val="false"/>
        <strike val="false"/>
        <sz val="10"/>
        <color rgb="FFF54A45"/>
      </rPr>
      <t xml:space="preserve">（未实现）（上云MQTT通信中断，不影响对象存储服务器）
</t>
    </r>
    <r>
      <rPr>
        <b val="false"/>
        <i val="false"/>
        <strike val="false"/>
        <sz val="10"/>
        <color/>
      </rPr>
      <t xml:space="preserve">（1）功能模块设计方案文档编写：服务模块 分层架构，流程步骤和数据流时序
（2）安装移植MinIO库  -- 1天
（3）安装移植华为OBS  -- 1.5天
（4）MQTT订阅天盾对象存储流媒体服务器地址，更新本地上云服务器配置文件（开关，通信方式、服务器url地址等）  -- 2天
（5）定时读取本地配置文件，判断数据上传地址如果发生改变，触发重连  -- 1.5天
（6）监听本地图片存储目录，按照上传优先级（按时间优先级）实时上传图片和发布事件信息到天盾服务器 -- 2天</t>
    </r>
  </si>
  <si>
    <t/>
    <r>
      <rPr>
        <u val="single"/>
        <color theme="10"/>
      </rPr>
      <t>@罗建强</t>
    </r>
  </si>
  <si>
    <t xml:space="preserve">Spotter上云： 结构化数据录制存储、补传与回放输出功能（暂先沿用天盾存储和回放）</t>
  </si>
  <si>
    <t/>
    <r>
      <rPr>
        <b val="false"/>
        <i val="false"/>
        <strike val="false"/>
        <sz val="10"/>
        <color/>
      </rPr>
      <t>数据本地缓存：</t>
    </r>
    <r>
      <rPr>
        <b val="false"/>
        <i val="false"/>
        <strike val="false"/>
        <sz val="10"/>
        <color rgb="FFF54A45"/>
      </rPr>
      <t>@陈科威</t>
    </r>
    <r>
      <rPr>
        <b val="false"/>
        <i val="false"/>
        <strike val="false"/>
        <sz val="10"/>
        <color rgb="FFF54A45"/>
      </rPr>
      <t xml:space="preserve">
</t>
    </r>
    <r>
      <rPr>
        <b val="false"/>
        <i val="false"/>
        <strike val="false"/>
        <sz val="10"/>
        <color/>
      </rPr>
      <t xml:space="preserve">（1）录制触发条件：实时存储录制
（2）存储文件录制规则定义：录制文件格式、命名、录制时间分段等，比如rosbag文件 </t>
    </r>
    <r>
      <rPr>
        <b val="false"/>
        <i val="false"/>
        <strike val="false"/>
        <sz val="10"/>
        <color/>
      </rPr>
      <t>@李亮</t>
    </r>
    <r>
      <rPr>
        <b val="false"/>
        <i val="false"/>
        <strike val="false"/>
        <sz val="10"/>
        <color/>
      </rPr>
      <t>@杨荣钲</t>
    </r>
    <r>
      <rPr>
        <b val="false"/>
        <i val="false"/>
        <strike val="false"/>
        <sz val="10"/>
        <color/>
      </rPr>
      <t xml:space="preserve">
（3）录制数据类型和频率 
    雷达航迹、协议目标、频谱目标、测向结果、视觉目标元数据、告警事件、设备状态（经纬高、姿态、运动状态）</t>
    </r>
  </si>
  <si>
    <t xml:space="preserve">数据回放：
（1）支持天盾回放之前一段时间内的数据
（2）支持天盾主动请求获取录制文件
（3）播放方式：天盾解析rosbag文件内的各种数据
（4）缓存数据类型和频率（同上)</t>
  </si>
  <si>
    <t/>
    <r>
      <rPr/>
      <t xml:space="preserve">离线历史数据补传
</t>
    </r>
    <r>
      <rPr/>
      <t xml:space="preserve">（1）重连之后，将断连期间的缓存数据上传天盾服务器 </t>
    </r>
    <r>
      <rPr>
        <u val="single"/>
        <color theme="10"/>
      </rPr>
      <t>@李亮</t>
    </r>
    <r>
      <rPr>
        <u val="single"/>
        <color theme="10"/>
      </rPr>
      <t>@杨荣钲</t>
    </r>
  </si>
  <si>
    <t xml:space="preserve">离线历史数据缺失记录上报（离线历史数据补传也缺失的部分记录）
1、数据完整性记录
2、缺失时间区间记录</t>
  </si>
  <si>
    <t xml:space="preserve">Spotter接入C2：本地基础功能</t>
  </si>
  <si>
    <t xml:space="preserve">设备标定：粗标状态管理</t>
  </si>
  <si>
    <t xml:space="preserve">子设备安装位置和姿态</t>
  </si>
  <si>
    <t xml:space="preserve">雷视细标执行与结果输出</t>
  </si>
  <si>
    <t xml:space="preserve">视觉与协议细标执行与结果输出</t>
  </si>
  <si>
    <t xml:space="preserve">标定参数版本管理与失效规则</t>
  </si>
  <si>
    <t xml:space="preserve">坐标转换与数据可信度标记</t>
  </si>
  <si>
    <t/>
    <r>
      <rPr>
        <b val="false"/>
        <i val="false"/>
        <strike val="false"/>
        <sz val="10"/>
        <color/>
      </rPr>
      <t>新增电侦侦测开关控制</t>
    </r>
    <r>
      <rPr>
        <b val="false"/>
        <i val="false"/>
        <strike val="false"/>
        <sz val="10"/>
        <color rgb="FFF54A45"/>
      </rPr>
      <t>（未实现）</t>
    </r>
  </si>
  <si>
    <t/>
    <r>
      <rPr>
        <u val="single"/>
        <color theme="10"/>
      </rPr>
      <t>@周益辉</t>
    </r>
  </si>
  <si>
    <t/>
    <r>
      <rPr>
        <b val="false"/>
        <i val="false"/>
        <strike val="false"/>
        <sz val="10"/>
        <color/>
      </rPr>
      <t xml:space="preserve">spotter 和C2的alink协议接口优化梳理：</t>
    </r>
    <r>
      <rPr>
        <b val="false"/>
        <i val="false"/>
        <strike val="false"/>
        <sz val="10"/>
        <color rgb="FFF54A45"/>
      </rPr>
      <t xml:space="preserve">（未实现，需尽快更新，避免影响后续软件）
</t>
    </r>
    <r>
      <rPr>
        <b val="false"/>
        <i val="false"/>
        <strike val="false"/>
        <sz val="10"/>
        <color/>
      </rPr>
      <t xml:space="preserve">1、删除雷视旧接口: 新旧接口功能重复，不再考虑兼容旧版本C2（涉及协议：删除0xEB、0xE6、0xE5、0XE1、0x85、0x88、0x89、0x8d、0x94）  -- 2天
2、删除新增接口：0x78功能重复，且不如旧接口0xE2（涉及协议：删除0x78，换回0xE2）   -- 1.5天
3、修改不合理协议：0x77设备状态包重做（修改为：增加版本号，系统温度状态，SN长度32，预留字段等）   -- 1.5天</t>
    </r>
  </si>
  <si>
    <t/>
    <r>
      <rPr>
        <u val="single"/>
        <color theme="10"/>
      </rPr>
      <t>@罗建强</t>
    </r>
  </si>
  <si>
    <t xml:space="preserve">spotter 电源盒子上云</t>
  </si>
  <si>
    <t xml:space="preserve">车载FPV开发</t>
  </si>
  <si>
    <t/>
    <r>
      <rPr>
        <u val="single"/>
        <color theme="10"/>
      </rPr>
      <t>@雷亚雄</t>
    </r>
  </si>
  <si>
    <t/>
    <r>
      <rPr>
        <u val="single"/>
        <color theme="10"/>
      </rPr>
      <t>@孙敏</t>
    </r>
  </si>
  <si>
    <t xml:space="preserve">P0: 基础框架</t>
  </si>
  <si>
    <t/>
    <r>
      <rPr>
        <u val="single"/>
        <color theme="10"/>
      </rPr>
      <t>@谭绍军</t>
    </r>
  </si>
  <si>
    <t xml:space="preserve">P1: 配置文件系统</t>
  </si>
  <si>
    <t/>
    <r>
      <rPr>
        <u val="single"/>
        <color theme="10"/>
      </rPr>
      <t>@谭绍军</t>
    </r>
  </si>
  <si>
    <t xml:space="preserve">P2: MQTT 通信层</t>
  </si>
  <si>
    <t/>
    <r>
      <rPr>
        <u val="single"/>
        <color theme="10"/>
      </rPr>
      <t>@谭绍军</t>
    </r>
  </si>
  <si>
    <t xml:space="preserve">P3: 打击核心链路</t>
  </si>
  <si>
    <t/>
    <r>
      <rPr>
        <u val="single"/>
        <color theme="10"/>
      </rPr>
      <t>@谭绍军</t>
    </r>
  </si>
  <si>
    <t xml:space="preserve">P4: 数字源驱动集成</t>
  </si>
  <si>
    <t/>
    <r>
      <rPr>
        <u val="single"/>
        <color theme="10"/>
      </rPr>
      <t>@谭绍军</t>
    </r>
  </si>
  <si>
    <t xml:space="preserve">P5: 模拟源 + 功放监测</t>
  </si>
  <si>
    <t/>
    <r>
      <rPr>
        <u val="single"/>
        <color theme="10"/>
      </rPr>
      <t>@谭绍军</t>
    </r>
  </si>
  <si>
    <t xml:space="preserve">P6: 故障管理与上报</t>
  </si>
  <si>
    <t/>
    <r>
      <rPr>
        <u val="single"/>
        <color theme="10"/>
      </rPr>
      <t>@谭绍军</t>
    </r>
  </si>
  <si>
    <t xml:space="preserve">P7: 缺省策略准备</t>
  </si>
  <si>
    <t/>
    <r>
      <rPr>
        <u val="single"/>
        <color theme="10"/>
      </rPr>
      <t>@谭绍军</t>
    </r>
  </si>
  <si>
    <t xml:space="preserve">P8: 联调测试</t>
  </si>
  <si>
    <t/>
    <r>
      <rPr>
        <u val="single"/>
        <color theme="10"/>
      </rPr>
      <t>@谭绍军</t>
    </r>
  </si>
  <si>
    <t xml:space="preserve">天盾开发</t>
  </si>
  <si>
    <t xml:space="preserve">UX/Ui设计与评审</t>
  </si>
  <si>
    <t/>
    <r>
      <rPr>
        <u val="single"/>
        <color theme="10"/>
      </rPr>
      <t>@郭鹤</t>
    </r>
  </si>
  <si>
    <t xml:space="preserve">站点位置模式配置</t>
  </si>
  <si>
    <t xml:space="preserve">天盾</t>
  </si>
  <si>
    <t/>
    <r>
      <rPr>
        <u val="single"/>
        <color theme="10"/>
      </rPr>
      <t>@叶植宇</t>
    </r>
    <r>
      <rPr>
        <u val="single"/>
        <color theme="10"/>
      </rPr>
      <t>@陈磊</t>
    </r>
    <r>
      <rPr>
        <u val="single"/>
        <color theme="10"/>
      </rPr>
      <t>@曹卿寓</t>
    </r>
  </si>
  <si>
    <t xml:space="preserve">动态围栏区</t>
  </si>
  <si>
    <t/>
    <r>
      <rPr>
        <u val="single"/>
        <color theme="10"/>
      </rPr>
      <t>@叶植宇</t>
    </r>
    <r>
      <rPr>
        <u val="single"/>
        <color theme="10"/>
      </rPr>
      <t>@陈磊</t>
    </r>
    <r>
      <rPr>
        <u val="single"/>
        <color theme="10"/>
      </rPr>
      <t>@曹卿寓</t>
    </r>
  </si>
  <si>
    <t xml:space="preserve">设备定位源设置</t>
  </si>
  <si>
    <t/>
    <r>
      <rPr>
        <u val="single"/>
        <color theme="10"/>
      </rPr>
      <t>@叶植宇</t>
    </r>
    <r>
      <rPr>
        <u val="single"/>
        <color theme="10"/>
      </rPr>
      <t>@陈磊</t>
    </r>
    <r>
      <rPr>
        <u val="single"/>
        <color theme="10"/>
      </rPr>
      <t>@曹卿寓</t>
    </r>
  </si>
  <si>
    <t xml:space="preserve">设备OTA</t>
  </si>
  <si>
    <t/>
    <r>
      <rPr>
        <u val="single"/>
        <color theme="10"/>
      </rPr>
      <t>@叶植宇</t>
    </r>
    <r>
      <rPr>
        <u val="single"/>
        <color theme="10"/>
      </rPr>
      <t>@陈磊</t>
    </r>
    <r>
      <rPr>
        <u val="single"/>
        <color theme="10"/>
      </rPr>
      <t>@曹卿寓</t>
    </r>
  </si>
  <si>
    <t xml:space="preserve">站点移动态势</t>
  </si>
  <si>
    <t/>
    <r>
      <rPr>
        <u val="single"/>
        <color theme="10"/>
      </rPr>
      <t>@叶植宇</t>
    </r>
    <r>
      <rPr>
        <u val="single"/>
        <color theme="10"/>
      </rPr>
      <t>@陈磊</t>
    </r>
    <r>
      <rPr>
        <u val="single"/>
        <color theme="10"/>
      </rPr>
      <t>@曹卿寓</t>
    </r>
  </si>
  <si>
    <t xml:space="preserve">目标定位与自动回归跟随机制</t>
  </si>
  <si>
    <t/>
    <r>
      <rPr>
        <u val="single"/>
        <color theme="10"/>
      </rPr>
      <t>@叶植宇</t>
    </r>
    <r>
      <rPr>
        <u val="single"/>
        <color theme="10"/>
      </rPr>
      <t>@陈磊</t>
    </r>
    <r>
      <rPr>
        <u val="single"/>
        <color theme="10"/>
      </rPr>
      <t>@曹卿寓</t>
    </r>
  </si>
  <si>
    <t xml:space="preserve"> 回放</t>
  </si>
  <si>
    <t/>
    <r>
      <rPr>
        <u val="single"/>
        <color theme="10"/>
      </rPr>
      <t>@叶植宇</t>
    </r>
    <r>
      <rPr>
        <u val="single"/>
        <color theme="10"/>
      </rPr>
      <t>@陈磊</t>
    </r>
    <r>
      <rPr>
        <u val="single"/>
        <color theme="10"/>
      </rPr>
      <t>@曹卿寓</t>
    </r>
  </si>
  <si>
    <t xml:space="preserve">Hunter V干扰推荐</t>
  </si>
  <si>
    <t/>
    <r>
      <rPr>
        <u val="single"/>
        <color theme="10"/>
      </rPr>
      <t>@叶植宇</t>
    </r>
    <r>
      <rPr>
        <u val="single"/>
        <color theme="10"/>
      </rPr>
      <t>@陈磊</t>
    </r>
    <r>
      <rPr>
        <u val="single"/>
        <color theme="10"/>
      </rPr>
      <t>@曹卿寓</t>
    </r>
  </si>
  <si>
    <t xml:space="preserve">测试用例</t>
  </si>
  <si>
    <t/>
    <r>
      <rPr>
        <u val="single"/>
        <color theme="10"/>
      </rPr>
      <t>@吴新宇</t>
    </r>
  </si>
  <si>
    <t xml:space="preserve">整体联调</t>
  </si>
  <si>
    <t xml:space="preserve">设备环境搭建：spotter主控、和普PTZ（Z201）、1~4个小雷、电侦、hunter v</t>
  </si>
  <si>
    <t/>
    <r>
      <rPr>
        <u val="single"/>
        <color theme="10"/>
      </rPr>
      <t>@郑思成</t>
    </r>
  </si>
  <si>
    <t xml:space="preserve">模块</t>
  </si>
  <si>
    <t xml:space="preserve">任务描述</t>
  </si>
  <si>
    <t xml:space="preserve">责任人</t>
  </si>
  <si>
    <t xml:space="preserve">计划启动时间</t>
  </si>
  <si>
    <t xml:space="preserve">计划完成时间</t>
  </si>
  <si>
    <t xml:space="preserve">实际完成时间</t>
  </si>
  <si>
    <t xml:space="preserve">状态</t>
  </si>
  <si>
    <t xml:space="preserve">备注</t>
  </si>
  <si>
    <t xml:space="preserve">需求</t>
  </si>
  <si>
    <t xml:space="preserve">产品需求说明评审</t>
  </si>
  <si>
    <t/>
    <r>
      <rPr>
        <u val="single"/>
        <color theme="10"/>
      </rPr>
      <t>@赵宁</t>
    </r>
  </si>
  <si>
    <t xml:space="preserve">√</t>
  </si>
  <si>
    <t xml:space="preserve">系统</t>
  </si>
  <si>
    <t xml:space="preserve">硬件&amp;结构系统设计方案评审</t>
  </si>
  <si>
    <t/>
    <r>
      <rPr>
        <u val="single"/>
        <color theme="10"/>
      </rPr>
      <t>@陈科威</t>
    </r>
  </si>
  <si>
    <t xml:space="preserve">软件系统设计方案评审</t>
  </si>
  <si>
    <t/>
    <r>
      <rPr>
        <u val="single"/>
        <color theme="10"/>
      </rPr>
      <t>@陈科威</t>
    </r>
  </si>
  <si>
    <t xml:space="preserve">ID</t>
  </si>
  <si>
    <t xml:space="preserve">近程Spotter ID设计</t>
  </si>
  <si>
    <t/>
    <r>
      <rPr>
        <u val="single"/>
        <color theme="10"/>
      </rPr>
      <t>@肖涛</t>
    </r>
  </si>
  <si>
    <t xml:space="preserve">结构</t>
  </si>
  <si>
    <t xml:space="preserve">结构设计方案评审</t>
  </si>
  <si>
    <t/>
    <r>
      <rPr>
        <u val="single"/>
        <color theme="10"/>
      </rPr>
      <t>@靳洪胜</t>
    </r>
  </si>
  <si>
    <t xml:space="preserve">ing</t>
  </si>
  <si>
    <t xml:space="preserve">延期，待客户回复</t>
  </si>
  <si>
    <t xml:space="preserve">结构详细设计评审</t>
  </si>
  <si>
    <t/>
    <r>
      <rPr>
        <u val="single"/>
        <color theme="10"/>
      </rPr>
      <t>@靳洪胜</t>
    </r>
  </si>
  <si>
    <t xml:space="preserve">设备准备</t>
  </si>
  <si>
    <t xml:space="preserve">PTZ选型 （和普Z201）</t>
  </si>
  <si>
    <t/>
    <r>
      <rPr>
        <u val="single"/>
        <color theme="10"/>
      </rPr>
      <t>@陈科威</t>
    </r>
  </si>
  <si>
    <t xml:space="preserve">跟中程的Z50对比，只是镜头焦距不一样，协议内容完全一样的</t>
  </si>
  <si>
    <t xml:space="preserve">和普 Z201 采购回样</t>
  </si>
  <si>
    <t/>
    <r>
      <rPr>
        <u val="single"/>
        <color theme="10"/>
      </rPr>
      <t>@黄鸿</t>
    </r>
    <r>
      <rPr/>
      <t xml:space="preserve">
</t>
    </r>
    <r>
      <rPr>
        <u val="single"/>
        <color theme="10"/>
      </rPr>
      <t>@蒋文秀</t>
    </r>
    <r>
      <rPr/>
      <t xml:space="preserve"> </t>
    </r>
  </si>
  <si>
    <t xml:space="preserve">Matrix</t>
  </si>
  <si>
    <t/>
    <r>
      <rPr>
        <u val="single"/>
        <color theme="10"/>
      </rPr>
      <t>@徐远君</t>
    </r>
  </si>
  <si>
    <t xml:space="preserve">面阵开模件延期，预计7-15齐套面阵，主机已ok</t>
  </si>
  <si>
    <t xml:space="preserve">4个小雷达</t>
  </si>
  <si>
    <t/>
    <r>
      <rPr>
        <u val="single"/>
        <color theme="10"/>
      </rPr>
      <t>@贺仪</t>
    </r>
  </si>
  <si>
    <t xml:space="preserve">Hunter V</t>
  </si>
  <si>
    <t/>
    <r>
      <rPr>
        <u val="single"/>
        <color theme="10"/>
      </rPr>
      <t>@徐远君</t>
    </r>
  </si>
  <si>
    <t xml:space="preserve">现货</t>
  </si>
  <si>
    <t xml:space="preserve">硬件</t>
  </si>
  <si>
    <t xml:space="preserve">硬件选型</t>
  </si>
  <si>
    <t/>
    <r>
      <rPr>
        <u val="single"/>
        <color theme="10"/>
      </rPr>
      <t>@符露元</t>
    </r>
  </si>
  <si>
    <t xml:space="preserve">线束设计</t>
  </si>
  <si>
    <t/>
    <r>
      <rPr>
        <u val="single"/>
        <color theme="10"/>
      </rPr>
      <t>@符露元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</si>
</sst>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/MM/dd"/>
    <numFmt numFmtId="165" formatCode="yyyy-MM-dd"/>
    <numFmt numFmtId="166" formatCode="m月d日"/>
    <numFmt numFmtId="167" formatCode="m月d日"/>
  </numFmts>
  <fonts count="13">
    <font>
      <sz val="10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0"/>
      <color rgb="FFF54A45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0"/>
      <color rgb="FF373C43"/>
      <name val="Calibri"/>
      <family val="2"/>
      <scheme val="minor"/>
    </font>
    <font>
      <b val="true"/>
      <strike val="true"/>
      <sz val="10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880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8800"/>
        <bgColor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true" applyFont="true" applyNumberFormat="true" applyProtection="false" borderId="1" fillId="3" fontId="3" numFmtId="164" xfId="0">
      <alignment horizontal="center" vertical="center" wrapText="true"/>
    </xf>
    <xf applyAlignment="true" applyBorder="false" applyFill="false" applyFont="true" applyNumberFormat="true" applyProtection="false" borderId="1" fillId="0" fontId="3" numFmtId="165" xfId="0">
      <alignment horizontal="center" vertical="center" wrapText="true"/>
    </xf>
    <xf applyAlignment="true" applyBorder="false" applyFill="false" applyFont="true" applyNumberFormat="true" applyProtection="false" borderId="1" fillId="0" fontId="3" numFmtId="164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true" applyProtection="false" borderId="1" fillId="0" fontId="3" numFmtId="165" xfId="0">
      <alignment horizontal="center" vertical="center" wrapText="true"/>
    </xf>
    <xf applyAlignment="true" applyBorder="false" applyFill="false" applyFont="true" applyNumberFormat="true" applyProtection="false" borderId="1" fillId="0" fontId="3" numFmtId="164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true" applyProtection="false" borderId="1" fillId="0" fontId="2" numFmtId="164" xfId="0">
      <alignment horizontal="center" vertical="center" wrapText="true"/>
    </xf>
    <xf applyAlignment="true" applyBorder="false" applyFill="false" applyFont="true" applyNumberFormat="true" applyProtection="false" borderId="3" fillId="0" fontId="2" numFmtId="164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top" wrapText="true"/>
    </xf>
    <xf applyAlignment="true" applyBorder="false" applyFill="false" applyFont="true" applyNumberFormat="true" applyProtection="false" borderId="1" fillId="0" fontId="2" numFmtId="164" xfId="0">
      <alignment vertical="center" wrapText="true"/>
    </xf>
    <xf applyAlignment="true" applyBorder="false" applyFill="true" applyFont="true" applyNumberFormat="false" applyProtection="false" borderId="1" fillId="5" fontId="4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true" applyProtection="false" borderId="1" fillId="0" fontId="2" numFmtId="164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true" applyProtection="false" borderId="1" fillId="0" fontId="2" numFmtId="164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64" xfId="0">
      <alignment vertical="center" wrapText="true"/>
    </xf>
    <xf applyAlignment="true" applyBorder="false" applyFill="false" applyFont="true" applyNumberFormat="false" applyProtection="false" borderId="1" fillId="0" fontId="6" numFmtId="0" xfId="0">
      <alignment vertical="center" wrapText="true"/>
    </xf>
    <xf applyAlignment="true" applyBorder="false" applyFill="false" applyFont="true" applyNumberFormat="true" applyProtection="false" borderId="1" fillId="0" fontId="2" numFmtId="164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true" applyProtection="false" borderId="1" fillId="0" fontId="2" numFmtId="164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4" fillId="0" fontId="2" numFmtId="164" xfId="0">
      <alignment horizontal="center" vertical="center" wrapText="true"/>
    </xf>
    <xf applyAlignment="true" applyBorder="false" applyFill="false" applyFont="true" applyNumberFormat="true" applyProtection="false" borderId="1" fillId="0" fontId="2" numFmtId="164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 wrapText="true"/>
    </xf>
    <xf applyAlignment="true" applyBorder="false" applyFill="false" applyFont="true" applyNumberFormat="true" applyProtection="false" borderId="4" fillId="0" fontId="2" numFmtId="164" xfId="0">
      <alignment horizontal="center" vertical="center"/>
    </xf>
    <xf applyAlignment="true" applyBorder="false" applyFill="false" applyFont="true" applyNumberFormat="true" applyProtection="false" borderId="4" fillId="0" fontId="2" numFmtId="164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1" fillId="5" fontId="9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true" applyFont="true" applyNumberFormat="false" applyProtection="false" borderId="1" fillId="5" fontId="10" numFmtId="0" xfId="0">
      <alignment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false" applyFont="true" applyNumberFormat="true" applyProtection="false" borderId="4" fillId="0" fontId="2" numFmtId="164" xfId="0">
      <alignment vertical="center" wrapText="true"/>
    </xf>
    <xf applyAlignment="true" applyBorder="false" applyFill="false" applyFont="true" applyNumberFormat="false" applyProtection="false" borderId="1" fillId="0" fontId="4" numFmtId="0" xfId="0">
      <alignment vertical="center" wrapText="true"/>
    </xf>
    <xf applyAlignment="true" applyBorder="false" applyFill="false" applyFont="true" applyNumberFormat="false" applyProtection="false" borderId="1" fillId="0" fontId="4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horizontal="center" vertical="center"/>
    </xf>
    <xf applyAlignment="true" applyBorder="false" applyFill="false" applyFont="true" applyNumberFormat="true" applyProtection="false" borderId="3" fillId="0" fontId="2" numFmtId="164" xfId="0">
      <alignment horizontal="center" vertical="center"/>
    </xf>
    <xf applyAlignment="true" applyBorder="false" applyFill="false" applyFont="true" applyNumberFormat="true" applyProtection="false" borderId="4" fillId="0" fontId="2" numFmtId="164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true" applyFont="true" applyNumberFormat="false" applyProtection="false" borderId="1" fillId="4" fontId="4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center" vertical="top" wrapText="true"/>
    </xf>
    <xf applyAlignment="true" applyBorder="false" applyFill="false" applyFont="true" applyNumberFormat="true" applyProtection="false" borderId="4" fillId="0" fontId="2" numFmtId="164" xfId="0">
      <alignment vertical="center"/>
    </xf>
    <xf applyAlignment="true" applyBorder="false" applyFill="false" applyFont="true" applyNumberFormat="true" applyProtection="false" borderId="4" fillId="0" fontId="2" numFmtId="164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vertical="center"/>
    </xf>
    <xf applyAlignment="true" applyBorder="false" applyFill="false" applyFont="true" applyNumberFormat="true" applyProtection="false" borderId="3" fillId="0" fontId="2" numFmtId="164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67" xfId="0">
      <alignment horizontal="center" vertical="center"/>
    </xf>
    <xf applyAlignment="true" applyBorder="false" applyFill="false" applyFont="true" applyNumberFormat="true" applyProtection="false" borderId="0" fillId="0" fontId="2" numFmtId="16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vxr5wm8r80r.feishu.cn/wiki/JfizwuCtaiLzf2kqoWvc0DmTnfe" Type="http://schemas.openxmlformats.org/officeDocument/2006/relationships/hyperlink" TargetMode="External"></Relationship><Relationship Id="rId2" Target="https://vxr5wm8r80r.feishu.cn/docx/YTMZdPRAvoEkaNxGgP6cUndHnpd?from=from_copylink" Type="http://schemas.openxmlformats.org/officeDocument/2006/relationships/hyperlink" TargetMode="External"></Relationship><Relationship Id="rId3" Target="https://vxr5wm8r80r.feishu.cn/docx/X3H2dBaiLoXEZjxhiZycaEb9nic?dcuId=7347919598039400449&amp;from=vc_assistant_notice#doxcnZGJEvE9gqPnP8KHWfbdyLh" Type="http://schemas.openxmlformats.org/officeDocument/2006/relationships/hyperlink" TargetMode="External"></Relationship><Relationship Id="rId4" Target="https://vxr5wm8r80r.feishu.cn/docx/Vp27dY1jNoYJjFxmGg0cbwxVnHc?dcuId=7347919598039400449&amp;from=vc_assistant_notice#doxcnjZHAIxf9M3AkSxQ6Lph5nf" Type="http://schemas.openxmlformats.org/officeDocument/2006/relationships/hyperlink" TargetMode="External"></Relationship><Relationship Id="rId5" Target="https://vxr5wm8r80r.feishu.cn/docx/AS0adu1EKoC5o4xpoC4cuJeAnNh?from=from_copylink" Type="http://schemas.openxmlformats.org/officeDocument/2006/relationships/hyperlink" TargetMode="External"></Relationship><Relationship Id="rId6" Target="https://vxr5wm8r80r.feishu.cn/docx/YNgxdFButouHyBxfTIocoLaFnAe?from=from_copylink" Type="http://schemas.openxmlformats.org/officeDocument/2006/relationships/hyperlink" TargetMode="External"></Relationship><Relationship Id="rId7" Target="https://vxr5wm8r80r.feishu.cn/wiki/UQW5wr5ogiKM8gk7Xlkcw4wCnmg?from=auth_notice&amp;hash=45016a194a67d39bc5f70018c45be09c" Type="http://schemas.openxmlformats.org/officeDocument/2006/relationships/hyperlink" TargetMode="External"></Relationship><Relationship Id="rId8" Target="https://vxr5wm8r80r.feishu.cn/wiki/IsbuwI5kjiRI5ikHXgQcos3TnHe" Type="http://schemas.openxmlformats.org/officeDocument/2006/relationships/hyperlink" TargetMode="External"></Relationship><Relationship Id="rId9" Target="https://vxr5wm8r80r.feishu.cn/docx/Wyf0dSMSbowBI1xLN2ycLyYlncg?from=from_copylink" Type="http://schemas.openxmlformats.org/officeDocument/2006/relationships/hyperlink" TargetMode="External"></Relationship><Relationship Id="rId10" Target="https://vxr5wm8r80r.feishu.cn/docx/S4otd81rzo0b3Yxghcgc8XA1ntg" Type="http://schemas.openxmlformats.org/officeDocument/2006/relationships/hyperlink" TargetMode="External"></Relationship><Relationship Id="rId11" Target="https://vxr5wm8r80r.feishu.cn/file/OVEBbRJQ6o9SjsxQjzvc13vQnQh?from=from_copylink" Type="http://schemas.openxmlformats.org/officeDocument/2006/relationships/hyperlink" TargetMode="External"></Relationship><Relationship Id="rId1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18"/>
  <cols>
    <col collapsed="false" customWidth="true" hidden="false" max="3" min="3" style="0" width="53"/>
    <col collapsed="false" customWidth="true" hidden="false" max="4" min="4" style="0" width="38"/>
    <col collapsed="false" customWidth="true" hidden="false" max="1" min="1" style="0" width="19"/>
    <col collapsed="false" customWidth="true" hidden="false" max="2" min="2" style="0" width="40"/>
  </cols>
  <sheetData>
    <row customHeight="true" ht="34" r="1">
      <c r="A1" s="1" t="s">
        <v>1</v>
      </c>
      <c r="B1" s="1" t="s">
        <v>2</v>
      </c>
      <c r="C1" s="1" t="s">
        <v>3</v>
      </c>
    </row>
    <row customHeight="true" ht="25" r="2">
      <c r="A2" s="2" t="s">
        <v>4</v>
      </c>
      <c r="B2" s="2" t="s">
        <v>5</v>
      </c>
    </row>
    <row customHeight="true" ht="25" r="3">
      <c r="A3" s="2" t="s">
        <v>4</v>
      </c>
      <c r="B3" t="s">
        <v>6</v>
      </c>
      <c r="C3" s="2" t="s">
        <v>7</v>
      </c>
    </row>
    <row customHeight="true" ht="25" r="4">
      <c r="A4" s="2" t="s">
        <v>4</v>
      </c>
      <c r="B4" t="s">
        <v>8</v>
      </c>
      <c r="C4" s="2" t="s">
        <v>9</v>
      </c>
    </row>
    <row customHeight="true" ht="25" r="5">
      <c r="A5" s="2" t="s">
        <v>4</v>
      </c>
      <c r="B5" t="s">
        <v>10</v>
      </c>
      <c r="C5" s="2" t="s">
        <v>11</v>
      </c>
    </row>
    <row customHeight="true" ht="25" r="6">
      <c r="A6" s="2" t="s">
        <v>12</v>
      </c>
      <c r="B6" s="2" t="s">
        <v>13</v>
      </c>
      <c r="C6" s="3" t="s">
        <v>14</v>
      </c>
    </row>
    <row customHeight="true" ht="24" r="7">
      <c r="A7" s="2" t="s">
        <v>15</v>
      </c>
      <c r="B7" s="2" t="s">
        <v>16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customHeight="true" ht="24" r="8">
      <c r="A8" s="2" t="s">
        <v>17</v>
      </c>
      <c r="B8" s="2" t="s">
        <v>18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</sheetData>
  <hyperlinks>
    <hyperlink ref="B2" display="SentryV (Spotter +Hunter V)产品需求文档 " r:id="rId1"/>
    <hyperlink ref="C3" display="智能纪要：SFL300天盾需求评审 2026年6月29日" r:id="rId2"/>
    <hyperlink ref="C4" display="智能纪要：Hunter V天盾开发需求对齐 2026年7月1日" r:id="rId3"/>
    <hyperlink ref="C5" display="智能纪要：SFL300中的Spotter软件需求评审会 2026年7月1日" r:id="rId4"/>
    <hyperlink ref="B7" display="SFL300硬件系统方案" r:id="rId5"/>
    <hyperlink ref="B3" display="【天盾】车载指控需求20260622" r:id="rId6"/>
    <hyperlink ref="B4" display="SFL300下的Hunter V 设备级开发需求V 0.2" r:id="rId7"/>
    <hyperlink ref="B5" display="Spotter 产品需求文档 " r:id="rId8"/>
    <hyperlink ref="B6" display="SFL300软件系统" r:id="rId9"/>
    <hyperlink ref="C6" display="智能纪要：SFL300--软件系统方案设计评审 2026年6月25日" r:id="rId10"/>
    <hyperlink ref="B8" display="SVH101_Design.md" r:id="rId11"/>
  </hyperlinks>
  <picture r:id="rId1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3" defaultRowHeight="18"/>
  <cols>
    <col collapsed="false" customWidth="true" hidden="false" max="1" min="1" style="0" width="6"/>
    <col collapsed="false" customWidth="true" hidden="false" max="3" min="3" style="0" width="6"/>
    <col collapsed="false" customWidth="true" hidden="false" max="5" min="5" style="0" width="20"/>
    <col collapsed="false" customWidth="true" hidden="false" max="7" min="7" style="0" width="11"/>
    <col collapsed="false" customWidth="true" hidden="false" max="9" min="9" style="0" width="9"/>
    <col collapsed="false" customWidth="true" hidden="false" max="11" min="11" style="0" width="10"/>
    <col collapsed="false" customWidth="true" hidden="false" max="13" min="13" style="0" width="33"/>
    <col collapsed="false" customWidth="true" hidden="false" max="2" min="2" style="0" width="66"/>
    <col collapsed="false" customWidth="true" hidden="false" max="4" min="4" style="0" width="10"/>
    <col collapsed="false" customWidth="true" hidden="false" max="6" min="6" style="0" width="11"/>
    <col collapsed="false" customWidth="true" hidden="false" max="8" min="8" style="0" width="12"/>
    <col collapsed="false" customWidth="true" hidden="false" max="10" min="10" style="0" width="9"/>
    <col collapsed="false" customWidth="true" hidden="false" max="12" min="12" style="0" width="44"/>
  </cols>
  <sheetData>
    <row customHeight="true" ht="28" r="1">
      <c r="A1" s="5"/>
      <c r="B1" s="6" t="s">
        <v>19</v>
      </c>
      <c r="C1" s="7" t="s">
        <v>20</v>
      </c>
      <c r="D1" s="7" t="s">
        <v>21</v>
      </c>
      <c r="E1" s="6" t="s">
        <v>22</v>
      </c>
      <c r="F1" s="8" t="s">
        <v>23</v>
      </c>
      <c r="G1" s="8" t="s">
        <v>24</v>
      </c>
      <c r="H1" s="9" t="s">
        <v>25</v>
      </c>
      <c r="I1" s="10" t="s">
        <v>26</v>
      </c>
      <c r="J1" s="10" t="s">
        <v>27</v>
      </c>
      <c r="K1" s="6" t="s">
        <v>28</v>
      </c>
      <c r="L1" s="6" t="s">
        <v>29</v>
      </c>
      <c r="M1" s="6" t="s">
        <v>30</v>
      </c>
    </row>
    <row r="2">
      <c r="A2" s="5"/>
      <c r="B2" s="11" t="s">
        <v>31</v>
      </c>
      <c r="C2" s="12"/>
      <c r="D2" s="6"/>
      <c r="E2" s="6"/>
      <c r="F2" s="10"/>
      <c r="G2" s="10"/>
      <c r="H2" s="13"/>
      <c r="I2" s="14"/>
      <c r="J2" s="14"/>
      <c r="K2" s="6"/>
      <c r="L2" s="15"/>
      <c r="M2" s="15"/>
    </row>
    <row customHeight="true" ht="18" r="3">
      <c r="A3" s="5"/>
      <c r="B3" s="16" t="s">
        <v>32</v>
      </c>
      <c r="C3" s="17"/>
      <c r="D3" s="7" t="s">
        <v>33</v>
      </c>
      <c r="E3" s="18" t="s">
        <v>34</v>
      </c>
      <c r="F3" s="19">
        <v>46205</v>
      </c>
      <c r="G3" s="20">
        <f>F3+H3</f>
      </c>
      <c r="H3" s="21">
        <v>5</v>
      </c>
      <c r="I3" s="22">
        <v>46205</v>
      </c>
      <c r="J3" s="14"/>
      <c r="K3" s="6" t="s">
        <v>35</v>
      </c>
      <c r="L3" s="15"/>
      <c r="M3" s="15"/>
    </row>
    <row customHeight="true" ht="18" r="4">
      <c r="A4" s="5"/>
      <c r="B4" s="23" t="s">
        <v>36</v>
      </c>
      <c r="C4" s="12" t="s">
        <v>37</v>
      </c>
      <c r="D4" s="7"/>
      <c r="E4" s="6"/>
      <c r="F4" s="10"/>
      <c r="G4" s="10"/>
      <c r="H4" s="13"/>
      <c r="I4" s="14"/>
      <c r="J4" s="14"/>
      <c r="K4" s="6"/>
      <c r="L4" s="15"/>
      <c r="M4" s="15"/>
    </row>
    <row r="5">
      <c r="A5" s="5"/>
      <c r="B5" s="16" t="s">
        <v>38</v>
      </c>
      <c r="C5" s="12" t="s">
        <v>37</v>
      </c>
      <c r="D5" s="7" t="s">
        <v>39</v>
      </c>
      <c r="E5" s="24"/>
      <c r="F5" s="25"/>
      <c r="G5" s="25"/>
      <c r="H5" s="26"/>
      <c r="I5" s="27"/>
      <c r="J5" s="27"/>
      <c r="K5" s="6" t="s">
        <v>40</v>
      </c>
      <c r="L5" s="26"/>
      <c r="M5" s="26"/>
    </row>
    <row r="6">
      <c r="A6" s="5"/>
      <c r="B6" s="16" t="s">
        <v>41</v>
      </c>
      <c r="C6" s="12" t="s">
        <v>37</v>
      </c>
      <c r="D6" s="7" t="s">
        <v>39</v>
      </c>
      <c r="E6" s="28"/>
      <c r="F6" s="25"/>
      <c r="G6" s="25"/>
      <c r="H6" s="26"/>
      <c r="I6" s="27"/>
      <c r="J6" s="27"/>
      <c r="K6" s="6" t="s">
        <v>40</v>
      </c>
      <c r="L6" s="26"/>
      <c r="M6" s="26"/>
    </row>
    <row customHeight="true" ht="18" r="7">
      <c r="A7" s="5"/>
      <c r="B7" s="16" t="s">
        <v>42</v>
      </c>
      <c r="C7" s="12" t="s">
        <v>37</v>
      </c>
      <c r="D7" s="7" t="s">
        <v>39</v>
      </c>
      <c r="E7" s="19" t="s">
        <v>43</v>
      </c>
      <c r="F7" s="25"/>
      <c r="G7" s="25"/>
      <c r="H7" s="26"/>
      <c r="I7" s="27"/>
      <c r="J7" s="27"/>
      <c r="K7" s="6" t="s">
        <v>44</v>
      </c>
      <c r="L7" s="26"/>
      <c r="M7" s="26"/>
    </row>
    <row customHeight="true" ht="41" r="8">
      <c r="A8" s="5"/>
      <c r="B8" s="16" t="s">
        <v>45</v>
      </c>
      <c r="C8" s="12" t="s">
        <v>37</v>
      </c>
      <c r="D8" s="7" t="s">
        <v>39</v>
      </c>
      <c r="E8" s="19" t="s">
        <v>46</v>
      </c>
      <c r="F8" s="25"/>
      <c r="G8" s="25"/>
      <c r="H8" s="26"/>
      <c r="I8" s="27"/>
      <c r="J8" s="27"/>
      <c r="K8" s="6" t="s">
        <v>44</v>
      </c>
      <c r="L8" s="26"/>
      <c r="M8" s="26"/>
    </row>
    <row customHeight="true" ht="25" r="9">
      <c r="A9" s="5"/>
      <c r="B9" s="16" t="s">
        <v>47</v>
      </c>
      <c r="C9" s="12" t="s">
        <v>37</v>
      </c>
      <c r="D9" s="7" t="s">
        <v>39</v>
      </c>
      <c r="E9" s="24"/>
      <c r="F9" s="25"/>
      <c r="G9" s="25"/>
      <c r="H9" s="26"/>
      <c r="I9" s="27"/>
      <c r="J9" s="27"/>
      <c r="K9" s="6"/>
      <c r="L9" s="26"/>
      <c r="M9" s="26"/>
    </row>
    <row customHeight="true" ht="23" r="10">
      <c r="A10" s="5"/>
      <c r="B10" s="16" t="s">
        <v>48</v>
      </c>
      <c r="C10" s="12" t="s">
        <v>37</v>
      </c>
      <c r="D10" s="7" t="s">
        <v>39</v>
      </c>
      <c r="E10" s="24"/>
      <c r="F10" s="25"/>
      <c r="G10" s="25"/>
      <c r="H10" s="26"/>
      <c r="I10" s="27"/>
      <c r="J10" s="27"/>
      <c r="K10" s="6"/>
      <c r="L10" s="26"/>
      <c r="M10" s="26"/>
    </row>
    <row customHeight="true" ht="78" r="11">
      <c r="A11" s="5"/>
      <c r="B11" s="16" t="s">
        <v>49</v>
      </c>
      <c r="C11" s="12" t="s">
        <v>37</v>
      </c>
      <c r="D11" s="7" t="s">
        <v>39</v>
      </c>
      <c r="E11" s="18" t="s">
        <v>50</v>
      </c>
      <c r="F11" s="19">
        <v>46226</v>
      </c>
      <c r="G11" s="29">
        <v>46227</v>
      </c>
      <c r="H11" s="26"/>
      <c r="I11" s="27"/>
      <c r="J11" s="27"/>
      <c r="K11" s="6" t="s">
        <v>44</v>
      </c>
      <c r="L11" s="26"/>
      <c r="M11" s="26"/>
    </row>
    <row customHeight="true" ht="60" r="12">
      <c r="A12" s="5"/>
      <c r="B12" s="30" t="s">
        <v>51</v>
      </c>
      <c r="C12" s="12" t="s">
        <v>37</v>
      </c>
      <c r="D12" s="7" t="s">
        <v>39</v>
      </c>
      <c r="E12" s="18" t="s">
        <v>52</v>
      </c>
      <c r="F12" s="25"/>
      <c r="G12" s="25"/>
      <c r="H12" s="26"/>
      <c r="I12" s="27"/>
      <c r="J12" s="27"/>
      <c r="K12" s="6" t="s">
        <v>44</v>
      </c>
      <c r="L12" s="26"/>
      <c r="M12" s="26"/>
    </row>
    <row r="13">
      <c r="A13" s="5"/>
      <c r="B13" s="16" t="s">
        <v>53</v>
      </c>
      <c r="C13" s="12" t="s">
        <v>37</v>
      </c>
      <c r="D13" s="7" t="s">
        <v>39</v>
      </c>
      <c r="E13" s="18" t="s">
        <v>54</v>
      </c>
      <c r="F13" s="31">
        <v>46223</v>
      </c>
      <c r="G13" s="31">
        <v>46226</v>
      </c>
      <c r="H13" s="18">
        <v>4</v>
      </c>
      <c r="I13" s="27"/>
      <c r="J13" s="27"/>
      <c r="K13" s="6" t="s">
        <v>44</v>
      </c>
      <c r="L13" s="26"/>
      <c r="M13" s="26"/>
    </row>
    <row customHeight="true" ht="74" r="14">
      <c r="A14" s="5"/>
      <c r="B14" s="16" t="s">
        <v>55</v>
      </c>
      <c r="C14" s="12" t="s">
        <v>37</v>
      </c>
      <c r="D14" s="7" t="s">
        <v>39</v>
      </c>
      <c r="E14" s="18" t="s">
        <v>56</v>
      </c>
      <c r="F14" s="19">
        <v>46223</v>
      </c>
      <c r="G14" s="19">
        <v>46228</v>
      </c>
      <c r="H14" s="18">
        <v>6</v>
      </c>
      <c r="I14" s="27"/>
      <c r="J14" s="27"/>
      <c r="K14" s="6" t="s">
        <v>44</v>
      </c>
      <c r="L14" s="26"/>
      <c r="M14" s="26"/>
    </row>
    <row customHeight="true" ht="23" r="15">
      <c r="A15" s="5"/>
      <c r="B15" s="16" t="s">
        <v>57</v>
      </c>
      <c r="C15" s="12" t="s">
        <v>58</v>
      </c>
      <c r="D15" s="7" t="s">
        <v>39</v>
      </c>
      <c r="E15" s="24"/>
      <c r="F15" s="25"/>
      <c r="G15" s="25"/>
      <c r="H15" s="26"/>
      <c r="I15" s="27"/>
      <c r="J15" s="27"/>
      <c r="K15" s="6"/>
      <c r="L15" s="26"/>
      <c r="M15" s="26"/>
    </row>
    <row customHeight="true" ht="23" r="16">
      <c r="A16" s="5"/>
      <c r="B16" s="23" t="s">
        <v>59</v>
      </c>
      <c r="C16" s="12"/>
      <c r="D16" s="7"/>
      <c r="E16" s="24"/>
      <c r="F16" s="25"/>
      <c r="G16" s="25"/>
      <c r="H16" s="26"/>
      <c r="I16" s="27"/>
      <c r="J16" s="27"/>
      <c r="K16" s="6"/>
      <c r="L16" s="26"/>
      <c r="M16" s="26"/>
    </row>
    <row customHeight="true" ht="90" r="17">
      <c r="A17" s="32"/>
      <c r="B17" s="33" t="s">
        <v>60</v>
      </c>
      <c r="C17" s="12" t="s">
        <v>37</v>
      </c>
      <c r="D17" s="34" t="s">
        <v>39</v>
      </c>
      <c r="E17" s="6" t="s">
        <v>61</v>
      </c>
      <c r="F17" s="31">
        <v>46226</v>
      </c>
      <c r="G17" s="31">
        <v>46237</v>
      </c>
      <c r="H17" s="33">
        <v>8</v>
      </c>
      <c r="I17" s="35"/>
      <c r="J17" s="35"/>
      <c r="K17" s="6" t="s">
        <v>44</v>
      </c>
      <c r="L17" s="36"/>
      <c r="M17" s="36"/>
      <c r="N17" s="37"/>
      <c r="O17" s="37"/>
      <c r="P17" s="37"/>
      <c r="Q17" s="37"/>
      <c r="R17" s="37"/>
      <c r="S17" s="37"/>
    </row>
    <row customHeight="true" ht="46" r="18">
      <c r="A18" s="32"/>
      <c r="B18" s="33" t="s">
        <v>62</v>
      </c>
      <c r="C18" s="12" t="s">
        <v>37</v>
      </c>
      <c r="D18" s="34" t="s">
        <v>39</v>
      </c>
      <c r="E18" s="6"/>
      <c r="F18" s="38"/>
      <c r="G18" s="39"/>
      <c r="H18" s="36"/>
      <c r="I18" s="35"/>
      <c r="J18" s="35"/>
      <c r="K18" s="40" t="s">
        <v>40</v>
      </c>
      <c r="L18" s="36"/>
      <c r="M18" s="36"/>
      <c r="N18" s="37"/>
      <c r="O18" s="37"/>
      <c r="P18" s="37"/>
      <c r="Q18" s="37"/>
      <c r="R18" s="37"/>
      <c r="S18" s="37"/>
    </row>
    <row customHeight="true" ht="62" r="19">
      <c r="A19" s="32"/>
      <c r="B19" s="16" t="s">
        <v>63</v>
      </c>
      <c r="C19" s="12" t="s">
        <v>37</v>
      </c>
      <c r="D19" s="7" t="s">
        <v>39</v>
      </c>
      <c r="E19" s="41" t="s">
        <v>64</v>
      </c>
      <c r="F19" s="29">
        <v>46228</v>
      </c>
      <c r="G19" s="29">
        <v>46228</v>
      </c>
      <c r="H19" s="36"/>
      <c r="I19" s="35"/>
      <c r="J19" s="35"/>
      <c r="K19" s="40" t="s">
        <v>44</v>
      </c>
      <c r="L19" s="36"/>
      <c r="M19" s="36"/>
      <c r="N19" s="37"/>
      <c r="O19" s="37"/>
      <c r="P19" s="37"/>
      <c r="Q19" s="37"/>
      <c r="R19" s="37"/>
      <c r="S19" s="37"/>
    </row>
    <row r="20">
      <c r="A20" s="5"/>
      <c r="B20" s="16" t="s">
        <v>65</v>
      </c>
      <c r="C20" s="12" t="s">
        <v>37</v>
      </c>
      <c r="D20" s="7" t="s">
        <v>39</v>
      </c>
      <c r="E20" s="18" t="s">
        <v>66</v>
      </c>
      <c r="F20" s="29">
        <v>46229</v>
      </c>
      <c r="G20" s="29">
        <v>46229</v>
      </c>
      <c r="H20" s="26"/>
      <c r="I20" s="27"/>
      <c r="J20" s="27"/>
      <c r="K20" s="6" t="s">
        <v>44</v>
      </c>
      <c r="L20" s="26"/>
      <c r="M20" s="26"/>
    </row>
    <row customHeight="true" ht="56" r="21">
      <c r="A21" s="5"/>
      <c r="B21" s="16" t="s">
        <v>67</v>
      </c>
      <c r="C21" s="12" t="s">
        <v>37</v>
      </c>
      <c r="D21" s="34" t="s">
        <v>39</v>
      </c>
      <c r="E21" s="6" t="s">
        <v>68</v>
      </c>
      <c r="F21" s="42">
        <v>46219</v>
      </c>
      <c r="G21" s="31">
        <v>46225</v>
      </c>
      <c r="H21" s="16">
        <v>6</v>
      </c>
      <c r="I21" s="27"/>
      <c r="J21" s="27"/>
      <c r="K21" s="6" t="s">
        <v>44</v>
      </c>
      <c r="L21" s="26"/>
      <c r="M21" s="26"/>
    </row>
    <row customHeight="true" ht="61" r="22">
      <c r="A22" s="5"/>
      <c r="B22" s="16" t="s">
        <v>69</v>
      </c>
      <c r="C22" s="12" t="s">
        <v>37</v>
      </c>
      <c r="D22" s="34" t="s">
        <v>39</v>
      </c>
      <c r="E22" s="5" t="s">
        <v>70</v>
      </c>
      <c r="F22" s="43"/>
      <c r="G22" s="25"/>
      <c r="H22" s="26"/>
      <c r="I22" s="27"/>
      <c r="J22" s="27"/>
      <c r="K22" s="6" t="s">
        <v>44</v>
      </c>
      <c r="L22" s="26"/>
      <c r="M22" s="26"/>
    </row>
    <row customHeight="true" ht="128" r="23">
      <c r="A23" s="5"/>
      <c r="B23" s="16" t="s">
        <v>71</v>
      </c>
      <c r="C23" s="12" t="s">
        <v>37</v>
      </c>
      <c r="D23" s="7" t="s">
        <v>39</v>
      </c>
      <c r="E23" s="18" t="s">
        <v>72</v>
      </c>
      <c r="F23" s="25"/>
      <c r="G23" s="25"/>
      <c r="H23" s="26"/>
      <c r="I23" s="27"/>
      <c r="J23" s="27"/>
      <c r="K23" s="6" t="s">
        <v>44</v>
      </c>
      <c r="L23" s="26"/>
      <c r="M23" s="26"/>
    </row>
    <row customHeight="true" ht="66" r="24">
      <c r="A24" s="5"/>
      <c r="B24" s="16" t="s">
        <v>73</v>
      </c>
      <c r="C24" s="12" t="s">
        <v>37</v>
      </c>
      <c r="D24" s="7" t="s">
        <v>39</v>
      </c>
      <c r="E24" s="44" t="s">
        <v>74</v>
      </c>
      <c r="F24" s="25"/>
      <c r="G24" s="25"/>
      <c r="H24" s="26"/>
      <c r="I24" s="27"/>
      <c r="J24" s="27"/>
      <c r="K24" s="6" t="s">
        <v>44</v>
      </c>
      <c r="L24" s="26"/>
      <c r="M24" s="26"/>
    </row>
    <row r="25">
      <c r="A25" s="5"/>
      <c r="B25" s="16" t="s">
        <v>75</v>
      </c>
      <c r="C25" s="12" t="s">
        <v>37</v>
      </c>
      <c r="D25" s="7" t="s">
        <v>39</v>
      </c>
      <c r="E25" s="18" t="s">
        <v>76</v>
      </c>
      <c r="F25" s="25"/>
      <c r="G25" s="25"/>
      <c r="H25" s="26"/>
      <c r="I25" s="27"/>
      <c r="J25" s="27"/>
      <c r="K25" s="6" t="s">
        <v>40</v>
      </c>
      <c r="L25" s="26"/>
      <c r="M25" s="26"/>
    </row>
    <row customHeight="true" ht="18" r="26">
      <c r="A26" s="5"/>
      <c r="B26" s="23" t="s">
        <v>77</v>
      </c>
      <c r="C26" s="24"/>
      <c r="D26" s="24"/>
      <c r="E26" s="24"/>
      <c r="F26" s="25"/>
      <c r="G26" s="25"/>
      <c r="H26" s="26"/>
      <c r="I26" s="27"/>
      <c r="J26" s="27"/>
      <c r="K26" s="6" t="s">
        <v>40</v>
      </c>
      <c r="L26" s="26"/>
      <c r="M26" s="26"/>
    </row>
    <row customHeight="true" ht="18" r="27">
      <c r="A27" s="5"/>
      <c r="B27" s="16" t="s">
        <v>78</v>
      </c>
      <c r="C27" s="12" t="s">
        <v>37</v>
      </c>
      <c r="D27" s="7" t="s">
        <v>39</v>
      </c>
      <c r="E27" s="24"/>
      <c r="F27" s="25"/>
      <c r="G27" s="25"/>
      <c r="H27" s="26"/>
      <c r="I27" s="27"/>
      <c r="J27" s="27"/>
      <c r="K27" s="6" t="s">
        <v>40</v>
      </c>
      <c r="L27" s="26"/>
      <c r="M27" s="26"/>
    </row>
    <row customHeight="true" ht="18" r="28">
      <c r="A28" s="5"/>
      <c r="B28" s="16" t="s">
        <v>79</v>
      </c>
      <c r="C28" s="12" t="s">
        <v>37</v>
      </c>
      <c r="D28" s="7" t="s">
        <v>39</v>
      </c>
      <c r="E28" s="24"/>
      <c r="F28" s="25"/>
      <c r="G28" s="25"/>
      <c r="H28" s="26"/>
      <c r="I28" s="27"/>
      <c r="J28" s="27"/>
      <c r="K28" s="6" t="s">
        <v>40</v>
      </c>
      <c r="L28" s="26"/>
      <c r="M28" s="26"/>
    </row>
    <row customHeight="true" ht="18" r="29">
      <c r="A29" s="5"/>
      <c r="B29" s="16" t="s">
        <v>80</v>
      </c>
      <c r="C29" s="12" t="s">
        <v>37</v>
      </c>
      <c r="D29" s="7" t="s">
        <v>39</v>
      </c>
      <c r="E29" s="24"/>
      <c r="F29" s="25"/>
      <c r="G29" s="25"/>
      <c r="H29" s="26"/>
      <c r="I29" s="27"/>
      <c r="J29" s="27"/>
      <c r="K29" s="6" t="s">
        <v>40</v>
      </c>
      <c r="L29" s="26"/>
      <c r="M29" s="26"/>
    </row>
    <row customHeight="true" ht="18" r="30">
      <c r="A30" s="5"/>
      <c r="B30" s="16" t="s">
        <v>81</v>
      </c>
      <c r="C30" s="12" t="s">
        <v>37</v>
      </c>
      <c r="D30" s="7" t="s">
        <v>39</v>
      </c>
      <c r="E30" s="24"/>
      <c r="F30" s="25"/>
      <c r="G30" s="25"/>
      <c r="H30" s="26"/>
      <c r="I30" s="27"/>
      <c r="J30" s="27"/>
      <c r="K30" s="6" t="s">
        <v>40</v>
      </c>
      <c r="L30" s="26"/>
      <c r="M30" s="26"/>
    </row>
    <row customHeight="true" ht="79" r="31">
      <c r="A31" s="5"/>
      <c r="B31" s="16" t="s">
        <v>82</v>
      </c>
      <c r="C31" s="12" t="s">
        <v>83</v>
      </c>
      <c r="D31" s="7" t="s">
        <v>39</v>
      </c>
      <c r="E31" s="18"/>
      <c r="F31" s="25"/>
      <c r="G31" s="25"/>
      <c r="H31" s="26"/>
      <c r="I31" s="27"/>
      <c r="J31" s="27"/>
      <c r="K31" s="6" t="s">
        <v>44</v>
      </c>
      <c r="L31" s="26"/>
      <c r="M31" s="26"/>
    </row>
    <row customHeight="true" ht="260" r="32">
      <c r="A32" s="5"/>
      <c r="B32" s="16" t="s">
        <v>84</v>
      </c>
      <c r="C32" s="12" t="s">
        <v>37</v>
      </c>
      <c r="D32" s="7" t="s">
        <v>85</v>
      </c>
      <c r="E32" s="44" t="s">
        <v>86</v>
      </c>
      <c r="F32" s="25"/>
      <c r="G32" s="25"/>
      <c r="H32" s="26"/>
      <c r="I32" s="27"/>
      <c r="J32" s="27"/>
      <c r="K32" s="6"/>
      <c r="L32" s="26"/>
      <c r="M32" s="26"/>
    </row>
    <row customHeight="true" ht="72" r="33">
      <c r="A33" s="5"/>
      <c r="B33" s="16" t="s">
        <v>87</v>
      </c>
      <c r="C33" s="12" t="s">
        <v>37</v>
      </c>
      <c r="D33" s="7" t="s">
        <v>85</v>
      </c>
      <c r="E33" s="44" t="s">
        <v>88</v>
      </c>
      <c r="F33" s="25"/>
      <c r="G33" s="25"/>
      <c r="H33" s="26"/>
      <c r="I33" s="27"/>
      <c r="J33" s="27"/>
      <c r="K33" s="6"/>
      <c r="L33" s="26"/>
      <c r="M33" s="26"/>
    </row>
    <row customHeight="true" ht="55" r="34">
      <c r="A34" s="5"/>
      <c r="B34" s="16" t="s">
        <v>89</v>
      </c>
      <c r="C34" s="12" t="s">
        <v>37</v>
      </c>
      <c r="D34" s="7" t="s">
        <v>39</v>
      </c>
      <c r="E34" s="18" t="s">
        <v>90</v>
      </c>
      <c r="F34" s="31">
        <v>46238</v>
      </c>
      <c r="G34" s="31">
        <v>46241</v>
      </c>
      <c r="H34" s="16">
        <v>4</v>
      </c>
      <c r="I34" s="27"/>
      <c r="J34" s="27"/>
      <c r="K34" s="6" t="s">
        <v>44</v>
      </c>
      <c r="L34" s="26"/>
      <c r="M34" s="26"/>
    </row>
    <row r="35">
      <c r="A35" s="5"/>
      <c r="B35" s="16" t="s">
        <v>91</v>
      </c>
      <c r="C35" s="12" t="s">
        <v>58</v>
      </c>
      <c r="D35" s="7" t="s">
        <v>92</v>
      </c>
      <c r="E35" s="18" t="s">
        <v>93</v>
      </c>
      <c r="F35" s="25"/>
      <c r="G35" s="25"/>
      <c r="H35" s="26"/>
      <c r="I35" s="27"/>
      <c r="J35" s="27"/>
      <c r="K35" s="6" t="s">
        <v>44</v>
      </c>
      <c r="L35" s="26"/>
      <c r="M35" s="26"/>
    </row>
    <row customHeight="true" ht="133" r="36">
      <c r="A36" s="5"/>
      <c r="B36" s="16" t="s">
        <v>94</v>
      </c>
      <c r="C36" s="12" t="s">
        <v>37</v>
      </c>
      <c r="D36" s="7" t="s">
        <v>39</v>
      </c>
      <c r="E36" s="18" t="s">
        <v>95</v>
      </c>
      <c r="F36" s="31">
        <v>46227</v>
      </c>
      <c r="G36" s="31">
        <v>46234</v>
      </c>
      <c r="H36" s="18">
        <v>8</v>
      </c>
      <c r="I36" s="27"/>
      <c r="J36" s="27"/>
      <c r="K36" s="6" t="s">
        <v>44</v>
      </c>
      <c r="L36" s="26"/>
      <c r="M36" s="26"/>
    </row>
    <row customHeight="true" ht="18" r="37">
      <c r="A37" s="5"/>
      <c r="B37" s="23" t="s">
        <v>96</v>
      </c>
      <c r="C37" s="24"/>
      <c r="D37" s="24"/>
      <c r="E37" s="24"/>
      <c r="F37" s="25"/>
      <c r="G37" s="25"/>
      <c r="H37" s="26"/>
      <c r="I37" s="27"/>
      <c r="J37" s="27"/>
      <c r="K37" s="6"/>
      <c r="L37" s="26"/>
      <c r="M37" s="26"/>
    </row>
    <row customHeight="true" ht="89" r="38">
      <c r="A38" s="5"/>
      <c r="B38" s="16" t="s">
        <v>97</v>
      </c>
      <c r="C38" s="12" t="s">
        <v>83</v>
      </c>
      <c r="D38" s="7" t="s">
        <v>39</v>
      </c>
      <c r="E38" s="24"/>
      <c r="F38" s="25"/>
      <c r="G38" s="25"/>
      <c r="H38" s="26"/>
      <c r="I38" s="27"/>
      <c r="J38" s="27"/>
      <c r="K38" s="6" t="s">
        <v>44</v>
      </c>
      <c r="L38" s="26"/>
      <c r="M38" s="26"/>
    </row>
    <row customHeight="true" ht="74" r="39">
      <c r="A39" s="5"/>
      <c r="B39" s="16" t="s">
        <v>98</v>
      </c>
      <c r="C39" s="12" t="s">
        <v>83</v>
      </c>
      <c r="D39" s="7" t="s">
        <v>39</v>
      </c>
      <c r="E39" s="24"/>
      <c r="F39" s="25"/>
      <c r="G39" s="25"/>
      <c r="H39" s="26"/>
      <c r="I39" s="27"/>
      <c r="J39" s="27"/>
      <c r="K39" s="6" t="s">
        <v>44</v>
      </c>
      <c r="L39" s="26"/>
      <c r="M39" s="26"/>
    </row>
    <row r="40">
      <c r="A40" s="5"/>
      <c r="B40" s="16" t="s">
        <v>99</v>
      </c>
      <c r="C40" s="12" t="s">
        <v>83</v>
      </c>
      <c r="D40" s="7" t="s">
        <v>39</v>
      </c>
      <c r="E40" s="24"/>
      <c r="F40" s="25"/>
      <c r="G40" s="25"/>
      <c r="H40" s="26"/>
      <c r="I40" s="27"/>
      <c r="J40" s="27"/>
      <c r="K40" s="6" t="s">
        <v>44</v>
      </c>
      <c r="L40" s="26"/>
      <c r="M40" s="26"/>
    </row>
    <row customHeight="true" ht="45" r="41">
      <c r="A41" s="5"/>
      <c r="B41" s="16" t="s">
        <v>100</v>
      </c>
      <c r="C41" s="12" t="s">
        <v>83</v>
      </c>
      <c r="D41" s="7" t="s">
        <v>39</v>
      </c>
      <c r="E41" s="24"/>
      <c r="F41" s="25"/>
      <c r="G41" s="25"/>
      <c r="H41" s="26"/>
      <c r="I41" s="27"/>
      <c r="J41" s="27"/>
      <c r="K41" s="6" t="s">
        <v>44</v>
      </c>
      <c r="L41" s="26"/>
      <c r="M41" s="26"/>
    </row>
    <row customHeight="true" ht="18" r="42">
      <c r="A42" s="5"/>
      <c r="B42" s="45" t="s">
        <v>101</v>
      </c>
      <c r="C42" s="12"/>
      <c r="D42" s="7"/>
      <c r="E42" s="24"/>
      <c r="F42" s="25"/>
      <c r="G42" s="25"/>
      <c r="H42" s="26"/>
      <c r="I42" s="27"/>
      <c r="J42" s="27"/>
      <c r="K42" s="6" t="s">
        <v>40</v>
      </c>
      <c r="L42" s="26"/>
      <c r="M42" s="26"/>
    </row>
    <row customHeight="true" ht="18" r="43">
      <c r="A43" s="5"/>
      <c r="B43" s="16" t="s">
        <v>102</v>
      </c>
      <c r="C43" s="12" t="s">
        <v>37</v>
      </c>
      <c r="D43" s="7" t="s">
        <v>39</v>
      </c>
      <c r="E43" s="24"/>
      <c r="F43" s="25"/>
      <c r="G43" s="25"/>
      <c r="H43" s="26"/>
      <c r="I43" s="27"/>
      <c r="J43" s="27"/>
      <c r="K43" s="6" t="s">
        <v>40</v>
      </c>
      <c r="L43" s="26"/>
      <c r="M43" s="26"/>
    </row>
    <row customHeight="true" ht="18" r="44">
      <c r="A44" s="5"/>
      <c r="B44" s="16" t="s">
        <v>103</v>
      </c>
      <c r="C44" s="12" t="s">
        <v>37</v>
      </c>
      <c r="D44" s="7" t="s">
        <v>39</v>
      </c>
      <c r="E44" s="24"/>
      <c r="F44" s="25"/>
      <c r="G44" s="25"/>
      <c r="H44" s="26"/>
      <c r="I44" s="27"/>
      <c r="J44" s="27"/>
      <c r="K44" s="6" t="s">
        <v>40</v>
      </c>
      <c r="L44" s="26"/>
      <c r="M44" s="26"/>
    </row>
    <row customHeight="true" ht="18" r="45">
      <c r="A45" s="5"/>
      <c r="B45" s="26" t="s">
        <v>104</v>
      </c>
      <c r="C45" s="12" t="s">
        <v>37</v>
      </c>
      <c r="D45" s="7" t="s">
        <v>39</v>
      </c>
      <c r="E45" s="24"/>
      <c r="F45" s="25"/>
      <c r="G45" s="25"/>
      <c r="H45" s="26"/>
      <c r="I45" s="27"/>
      <c r="J45" s="27"/>
      <c r="K45" s="6" t="s">
        <v>40</v>
      </c>
      <c r="L45" s="26"/>
      <c r="M45" s="26"/>
    </row>
    <row customHeight="true" ht="18" r="46">
      <c r="A46" s="5"/>
      <c r="B46" s="26" t="s">
        <v>105</v>
      </c>
      <c r="C46" s="12" t="s">
        <v>37</v>
      </c>
      <c r="D46" s="7" t="s">
        <v>39</v>
      </c>
      <c r="E46" s="24"/>
      <c r="F46" s="25"/>
      <c r="G46" s="25"/>
      <c r="H46" s="26"/>
      <c r="I46" s="27"/>
      <c r="J46" s="27"/>
      <c r="K46" s="6" t="s">
        <v>40</v>
      </c>
      <c r="L46" s="26"/>
      <c r="M46" s="26"/>
    </row>
    <row customHeight="true" ht="18" r="47">
      <c r="A47" s="5"/>
      <c r="B47" s="26" t="s">
        <v>106</v>
      </c>
      <c r="C47" s="12" t="s">
        <v>37</v>
      </c>
      <c r="D47" s="7" t="s">
        <v>39</v>
      </c>
      <c r="E47" s="24"/>
      <c r="F47" s="25"/>
      <c r="G47" s="25"/>
      <c r="H47" s="26"/>
      <c r="I47" s="27"/>
      <c r="J47" s="27"/>
      <c r="K47" s="6" t="s">
        <v>40</v>
      </c>
      <c r="L47" s="26"/>
      <c r="M47" s="26"/>
    </row>
    <row customHeight="true" ht="18" r="48">
      <c r="A48" s="5"/>
      <c r="B48" s="26" t="s">
        <v>107</v>
      </c>
      <c r="C48" s="12" t="s">
        <v>37</v>
      </c>
      <c r="D48" s="7" t="s">
        <v>39</v>
      </c>
      <c r="E48" s="24"/>
      <c r="F48" s="25"/>
      <c r="G48" s="25"/>
      <c r="H48" s="26"/>
      <c r="I48" s="27"/>
      <c r="J48" s="27"/>
      <c r="K48" s="6" t="s">
        <v>40</v>
      </c>
      <c r="L48" s="26"/>
      <c r="M48" s="26"/>
    </row>
    <row customHeight="true" ht="18" r="49">
      <c r="A49" s="5"/>
      <c r="B49" s="16" t="s">
        <v>108</v>
      </c>
      <c r="C49" s="12" t="s">
        <v>37</v>
      </c>
      <c r="D49" s="7" t="s">
        <v>39</v>
      </c>
      <c r="E49" s="18" t="s">
        <v>109</v>
      </c>
      <c r="F49" s="29">
        <v>46229</v>
      </c>
      <c r="G49" s="29">
        <v>46229</v>
      </c>
      <c r="H49" s="26"/>
      <c r="I49" s="27"/>
      <c r="J49" s="27"/>
      <c r="K49" s="6" t="s">
        <v>44</v>
      </c>
      <c r="L49" s="26"/>
      <c r="M49" s="26"/>
    </row>
    <row r="50">
      <c r="A50" s="5"/>
      <c r="B50" s="16" t="s">
        <v>110</v>
      </c>
      <c r="C50" s="12" t="s">
        <v>37</v>
      </c>
      <c r="D50" s="7" t="s">
        <v>39</v>
      </c>
      <c r="E50" s="18" t="s">
        <v>111</v>
      </c>
      <c r="F50" s="31">
        <v>46219</v>
      </c>
      <c r="G50" s="31">
        <v>46224</v>
      </c>
      <c r="H50" s="18">
        <v>5</v>
      </c>
      <c r="I50" s="27"/>
      <c r="J50" s="27"/>
      <c r="K50" s="6" t="s">
        <v>35</v>
      </c>
      <c r="L50" s="26"/>
      <c r="M50" s="26"/>
    </row>
    <row customHeight="true" ht="18" r="51">
      <c r="A51" s="46"/>
      <c r="B51" s="47" t="s">
        <v>112</v>
      </c>
      <c r="C51" s="48"/>
      <c r="D51" s="24"/>
      <c r="E51" s="18"/>
      <c r="F51" s="25"/>
      <c r="G51" s="20"/>
      <c r="H51" s="24"/>
      <c r="I51" s="49"/>
      <c r="J51" s="49"/>
      <c r="K51" s="6"/>
      <c r="L51" s="26"/>
      <c r="M51" s="26"/>
    </row>
    <row customHeight="true" ht="18" r="52">
      <c r="A52" s="46"/>
      <c r="B52" s="50"/>
      <c r="C52" s="48"/>
      <c r="D52" s="24"/>
      <c r="E52" s="18"/>
      <c r="F52" s="25"/>
      <c r="G52" s="20"/>
      <c r="H52" s="24"/>
      <c r="I52" s="49"/>
      <c r="J52" s="49"/>
      <c r="K52" s="6"/>
      <c r="L52" s="26"/>
      <c r="M52" s="26"/>
    </row>
    <row customHeight="true" ht="18" r="53">
      <c r="A53" s="46"/>
      <c r="B53" s="51"/>
      <c r="C53" s="52"/>
      <c r="D53" s="53"/>
      <c r="E53" s="54"/>
      <c r="F53" s="55"/>
      <c r="G53" s="56"/>
      <c r="H53" s="53"/>
      <c r="I53" s="57"/>
      <c r="J53" s="57"/>
      <c r="K53" s="5"/>
      <c r="L53" s="58"/>
      <c r="M53" s="58"/>
    </row>
    <row r="54">
      <c r="A54" s="46"/>
      <c r="B54" s="59" t="s">
        <v>113</v>
      </c>
      <c r="C54" s="52"/>
      <c r="D54" s="53"/>
      <c r="E54" s="54" t="s">
        <v>114</v>
      </c>
      <c r="F54" s="55"/>
      <c r="G54" s="56"/>
      <c r="H54" s="53"/>
      <c r="I54" s="57"/>
      <c r="J54" s="57"/>
      <c r="K54" s="5" t="s">
        <v>35</v>
      </c>
      <c r="L54" s="58"/>
      <c r="M54" s="58"/>
    </row>
    <row customHeight="true" ht="18" r="55">
      <c r="A55" s="46"/>
      <c r="B55" s="60" t="s">
        <v>32</v>
      </c>
      <c r="C55" s="61"/>
      <c r="D55" s="62" t="s">
        <v>33</v>
      </c>
      <c r="E55" s="54" t="s">
        <v>115</v>
      </c>
      <c r="F55" s="31">
        <v>46206</v>
      </c>
      <c r="G55" s="56">
        <f t="shared" ref="G55:G64" si="0">F55+H55</f>
      </c>
      <c r="H55" s="21">
        <v>5</v>
      </c>
      <c r="I55" s="63"/>
      <c r="J55" s="63"/>
      <c r="K55" s="5"/>
      <c r="L55" s="58"/>
      <c r="M55" s="58"/>
    </row>
    <row r="56">
      <c r="A56" s="46"/>
      <c r="B56" s="64" t="s">
        <v>116</v>
      </c>
      <c r="C56" s="61" t="s">
        <v>37</v>
      </c>
      <c r="D56" s="62" t="s">
        <v>39</v>
      </c>
      <c r="E56" s="54" t="s">
        <v>117</v>
      </c>
      <c r="F56" s="31">
        <v>46204</v>
      </c>
      <c r="G56" s="56">
        <f t="shared" si="0"/>
      </c>
      <c r="H56" s="65">
        <v>4</v>
      </c>
      <c r="I56" s="63">
        <v>46204</v>
      </c>
      <c r="J56" s="63">
        <v>46207</v>
      </c>
      <c r="K56" s="5" t="s">
        <v>40</v>
      </c>
      <c r="L56" s="58"/>
      <c r="M56" s="58"/>
    </row>
    <row r="57">
      <c r="A57" s="46"/>
      <c r="B57" s="58" t="s">
        <v>118</v>
      </c>
      <c r="C57" s="61" t="s">
        <v>37</v>
      </c>
      <c r="D57" s="62" t="s">
        <v>39</v>
      </c>
      <c r="E57" s="54" t="s">
        <v>119</v>
      </c>
      <c r="F57" s="55">
        <f t="shared" ref="F57:F64" si="2">G56+1</f>
      </c>
      <c r="G57" s="56">
        <f t="shared" si="0"/>
      </c>
      <c r="H57" s="65">
        <v>3</v>
      </c>
      <c r="I57" s="66">
        <v>46209</v>
      </c>
      <c r="J57" s="67">
        <v>46212</v>
      </c>
      <c r="K57" s="5" t="s">
        <v>40</v>
      </c>
      <c r="L57" s="58"/>
      <c r="M57" s="58"/>
    </row>
    <row r="58">
      <c r="A58" s="46"/>
      <c r="B58" s="58" t="s">
        <v>120</v>
      </c>
      <c r="C58" s="61" t="s">
        <v>37</v>
      </c>
      <c r="D58" s="62" t="s">
        <v>39</v>
      </c>
      <c r="E58" s="54" t="s">
        <v>121</v>
      </c>
      <c r="F58" s="55">
        <f t="shared" si="2"/>
      </c>
      <c r="G58" s="56">
        <f t="shared" si="0"/>
      </c>
      <c r="H58" s="65">
        <v>5</v>
      </c>
      <c r="I58" s="67">
        <v>46213</v>
      </c>
      <c r="J58" s="67">
        <v>46218</v>
      </c>
      <c r="K58" s="5" t="s">
        <v>35</v>
      </c>
      <c r="L58" s="58"/>
      <c r="M58" s="58"/>
    </row>
    <row r="59">
      <c r="A59" s="46"/>
      <c r="B59" s="58" t="s">
        <v>122</v>
      </c>
      <c r="C59" s="61" t="s">
        <v>37</v>
      </c>
      <c r="D59" s="62" t="s">
        <v>39</v>
      </c>
      <c r="E59" s="54" t="s">
        <v>123</v>
      </c>
      <c r="F59" s="55">
        <f t="shared" si="2"/>
      </c>
      <c r="G59" s="56">
        <f t="shared" si="0"/>
      </c>
      <c r="H59" s="65">
        <v>10</v>
      </c>
      <c r="I59" s="57"/>
      <c r="J59" s="57"/>
      <c r="K59" s="5" t="s">
        <v>44</v>
      </c>
      <c r="L59" s="58"/>
      <c r="M59" s="58"/>
    </row>
    <row r="60">
      <c r="A60" s="46"/>
      <c r="B60" s="58" t="s">
        <v>124</v>
      </c>
      <c r="C60" s="61" t="s">
        <v>37</v>
      </c>
      <c r="D60" s="62" t="s">
        <v>39</v>
      </c>
      <c r="E60" s="54" t="s">
        <v>125</v>
      </c>
      <c r="F60" s="55">
        <f t="shared" si="2"/>
      </c>
      <c r="G60" s="56">
        <f t="shared" si="0"/>
      </c>
      <c r="H60" s="65">
        <v>4</v>
      </c>
      <c r="I60" s="57"/>
      <c r="J60" s="57"/>
      <c r="K60" s="5" t="s">
        <v>44</v>
      </c>
      <c r="L60" s="58"/>
      <c r="M60" s="58"/>
    </row>
    <row r="61">
      <c r="A61" s="46"/>
      <c r="B61" s="58" t="s">
        <v>126</v>
      </c>
      <c r="C61" s="61" t="s">
        <v>37</v>
      </c>
      <c r="D61" s="62" t="s">
        <v>39</v>
      </c>
      <c r="E61" s="54" t="s">
        <v>127</v>
      </c>
      <c r="F61" s="55">
        <f t="shared" si="2"/>
      </c>
      <c r="G61" s="56">
        <f t="shared" si="0"/>
      </c>
      <c r="H61" s="65">
        <v>4</v>
      </c>
      <c r="I61" s="57"/>
      <c r="J61" s="57"/>
      <c r="K61" s="5" t="s">
        <v>44</v>
      </c>
      <c r="L61" s="58"/>
      <c r="M61" s="58"/>
    </row>
    <row r="62">
      <c r="A62" s="46"/>
      <c r="B62" s="58" t="s">
        <v>128</v>
      </c>
      <c r="C62" s="61" t="s">
        <v>37</v>
      </c>
      <c r="D62" s="62" t="s">
        <v>39</v>
      </c>
      <c r="E62" s="54" t="s">
        <v>129</v>
      </c>
      <c r="F62" s="55">
        <f t="shared" si="2"/>
      </c>
      <c r="G62" s="56">
        <f t="shared" si="0"/>
      </c>
      <c r="H62" s="65">
        <v>3</v>
      </c>
      <c r="I62" s="57"/>
      <c r="J62" s="57"/>
      <c r="K62" s="5" t="s">
        <v>44</v>
      </c>
      <c r="L62" s="58"/>
      <c r="M62" s="58"/>
    </row>
    <row customHeight="true" ht="18" r="63">
      <c r="A63" s="46"/>
      <c r="B63" s="58" t="s">
        <v>130</v>
      </c>
      <c r="C63" s="61" t="s">
        <v>37</v>
      </c>
      <c r="D63" s="62" t="s">
        <v>39</v>
      </c>
      <c r="E63" s="54" t="s">
        <v>131</v>
      </c>
      <c r="F63" s="55">
        <f t="shared" si="2"/>
      </c>
      <c r="G63" s="56">
        <f t="shared" si="0"/>
      </c>
      <c r="H63" s="65">
        <v>3</v>
      </c>
      <c r="I63" s="57"/>
      <c r="J63" s="57"/>
      <c r="K63" s="5" t="s">
        <v>44</v>
      </c>
      <c r="L63" s="58"/>
      <c r="M63" s="58"/>
    </row>
    <row customHeight="true" ht="18" r="64">
      <c r="A64" s="46"/>
      <c r="B64" s="58" t="s">
        <v>132</v>
      </c>
      <c r="C64" s="61" t="s">
        <v>37</v>
      </c>
      <c r="D64" s="62" t="s">
        <v>39</v>
      </c>
      <c r="E64" s="54" t="s">
        <v>133</v>
      </c>
      <c r="F64" s="55">
        <f t="shared" si="2"/>
      </c>
      <c r="G64" s="56">
        <f t="shared" si="0"/>
      </c>
      <c r="H64" s="65">
        <v>5</v>
      </c>
      <c r="I64" s="57"/>
      <c r="J64" s="57"/>
      <c r="K64" s="5" t="s">
        <v>44</v>
      </c>
      <c r="L64" s="58"/>
      <c r="M64" s="58"/>
    </row>
    <row r="65">
      <c r="A65" s="5"/>
      <c r="B65" s="59" t="s">
        <v>134</v>
      </c>
      <c r="C65" s="68"/>
      <c r="D65" s="53"/>
      <c r="E65" s="53"/>
      <c r="F65" s="55"/>
      <c r="G65" s="55"/>
      <c r="H65" s="64"/>
      <c r="I65" s="69"/>
      <c r="J65" s="69"/>
      <c r="K65" s="53"/>
      <c r="L65" s="58"/>
      <c r="M65" s="58"/>
    </row>
    <row customHeight="true" ht="18" r="66">
      <c r="A66" s="5"/>
      <c r="B66" s="60" t="s">
        <v>135</v>
      </c>
      <c r="C66" s="53"/>
      <c r="D66" s="53"/>
      <c r="E66" s="54" t="s">
        <v>136</v>
      </c>
      <c r="F66" s="31">
        <v>46204</v>
      </c>
      <c r="G66" s="56">
        <f t="shared" ref="G66:G74" si="1">F66+H66</f>
      </c>
      <c r="H66" s="65">
        <v>5</v>
      </c>
      <c r="I66" s="63">
        <v>46203</v>
      </c>
      <c r="J66" s="70">
        <v>46207</v>
      </c>
      <c r="K66" s="5" t="s">
        <v>40</v>
      </c>
      <c r="L66" s="58"/>
      <c r="M66" s="58"/>
    </row>
    <row r="67">
      <c r="A67" s="5"/>
      <c r="B67" s="58" t="s">
        <v>137</v>
      </c>
      <c r="C67" s="53"/>
      <c r="D67" s="54" t="s">
        <v>138</v>
      </c>
      <c r="E67" s="54" t="s">
        <v>139</v>
      </c>
      <c r="F67" s="31">
        <v>46216</v>
      </c>
      <c r="G67" s="56">
        <f t="shared" si="1"/>
      </c>
      <c r="H67" s="60">
        <v>3</v>
      </c>
      <c r="I67" s="69"/>
      <c r="J67" s="69"/>
      <c r="K67" s="5" t="s">
        <v>35</v>
      </c>
      <c r="L67" s="58"/>
      <c r="M67" s="58"/>
    </row>
    <row r="68">
      <c r="A68" s="5"/>
      <c r="B68" s="58" t="s">
        <v>140</v>
      </c>
      <c r="C68" s="53"/>
      <c r="D68" s="54" t="s">
        <v>138</v>
      </c>
      <c r="E68" s="54" t="s">
        <v>141</v>
      </c>
      <c r="F68" s="31">
        <v>46219</v>
      </c>
      <c r="G68" s="56">
        <f t="shared" si="1"/>
      </c>
      <c r="H68" s="60">
        <v>3</v>
      </c>
      <c r="I68" s="69"/>
      <c r="J68" s="69"/>
      <c r="K68" s="5" t="s">
        <v>35</v>
      </c>
      <c r="L68" s="58"/>
      <c r="M68" s="58"/>
    </row>
    <row r="69">
      <c r="A69" s="5"/>
      <c r="B69" s="58" t="s">
        <v>142</v>
      </c>
      <c r="C69" s="53"/>
      <c r="D69" s="54" t="s">
        <v>138</v>
      </c>
      <c r="E69" s="54" t="s">
        <v>143</v>
      </c>
      <c r="F69" s="31">
        <v>46223</v>
      </c>
      <c r="G69" s="56">
        <f t="shared" si="1"/>
      </c>
      <c r="H69" s="60">
        <v>3</v>
      </c>
      <c r="I69" s="69"/>
      <c r="J69" s="69"/>
      <c r="K69" s="5" t="s">
        <v>35</v>
      </c>
      <c r="L69" s="58"/>
      <c r="M69" s="58"/>
    </row>
    <row r="70">
      <c r="A70" s="5"/>
      <c r="B70" s="58" t="s">
        <v>144</v>
      </c>
      <c r="C70" s="53"/>
      <c r="D70" s="54" t="s">
        <v>138</v>
      </c>
      <c r="E70" s="54" t="s">
        <v>145</v>
      </c>
      <c r="F70" s="31">
        <v>46226</v>
      </c>
      <c r="G70" s="56">
        <f t="shared" si="1"/>
      </c>
      <c r="H70" s="60">
        <v>3</v>
      </c>
      <c r="I70" s="69"/>
      <c r="J70" s="69"/>
      <c r="K70" s="5" t="s">
        <v>35</v>
      </c>
      <c r="L70" s="58"/>
      <c r="M70" s="58"/>
    </row>
    <row r="71">
      <c r="A71" s="5"/>
      <c r="B71" s="58" t="s">
        <v>146</v>
      </c>
      <c r="C71" s="53"/>
      <c r="D71" s="54" t="s">
        <v>138</v>
      </c>
      <c r="E71" s="54" t="s">
        <v>147</v>
      </c>
      <c r="F71" s="31">
        <v>46223</v>
      </c>
      <c r="G71" s="56">
        <f t="shared" si="1"/>
      </c>
      <c r="H71" s="60">
        <v>3</v>
      </c>
      <c r="I71" s="69"/>
      <c r="J71" s="69"/>
      <c r="K71" s="5" t="s">
        <v>35</v>
      </c>
      <c r="L71" s="58"/>
      <c r="M71" s="58"/>
    </row>
    <row r="72">
      <c r="A72" s="5"/>
      <c r="B72" s="58" t="s">
        <v>148</v>
      </c>
      <c r="C72" s="53"/>
      <c r="D72" s="54" t="s">
        <v>138</v>
      </c>
      <c r="E72" s="54" t="s">
        <v>149</v>
      </c>
      <c r="F72" s="31">
        <v>46223</v>
      </c>
      <c r="G72" s="56">
        <f t="shared" si="1"/>
      </c>
      <c r="H72" s="60">
        <v>3</v>
      </c>
      <c r="I72" s="69"/>
      <c r="J72" s="69"/>
      <c r="K72" s="5" t="s">
        <v>35</v>
      </c>
      <c r="L72" s="58"/>
      <c r="M72" s="58"/>
    </row>
    <row r="73">
      <c r="A73" s="5"/>
      <c r="B73" s="58" t="s">
        <v>150</v>
      </c>
      <c r="C73" s="53"/>
      <c r="D73" s="54" t="s">
        <v>138</v>
      </c>
      <c r="E73" s="54" t="s">
        <v>151</v>
      </c>
      <c r="F73" s="31">
        <v>46216</v>
      </c>
      <c r="G73" s="56">
        <f t="shared" si="1"/>
      </c>
      <c r="H73" s="60">
        <v>3</v>
      </c>
      <c r="I73" s="69"/>
      <c r="J73" s="69"/>
      <c r="K73" s="5" t="s">
        <v>35</v>
      </c>
      <c r="L73" s="58"/>
      <c r="M73" s="58"/>
    </row>
    <row r="74">
      <c r="A74" s="5"/>
      <c r="B74" s="58" t="s">
        <v>152</v>
      </c>
      <c r="C74" s="53"/>
      <c r="D74" s="54" t="s">
        <v>138</v>
      </c>
      <c r="E74" s="54" t="s">
        <v>153</v>
      </c>
      <c r="F74" s="31">
        <v>46223</v>
      </c>
      <c r="G74" s="56">
        <f t="shared" si="1"/>
      </c>
      <c r="H74" s="60">
        <v>4</v>
      </c>
      <c r="I74" s="69"/>
      <c r="J74" s="69"/>
      <c r="K74" s="5" t="s">
        <v>35</v>
      </c>
      <c r="L74" s="58"/>
      <c r="M74" s="58"/>
    </row>
    <row r="75">
      <c r="A75" s="58"/>
      <c r="B75" s="60" t="s">
        <v>154</v>
      </c>
      <c r="C75" s="53"/>
      <c r="D75" s="54" t="s">
        <v>138</v>
      </c>
      <c r="E75" s="54" t="s">
        <v>155</v>
      </c>
      <c r="F75" s="31">
        <v>46216</v>
      </c>
      <c r="G75" s="56"/>
      <c r="H75" s="58"/>
      <c r="I75" s="69"/>
      <c r="J75" s="69"/>
      <c r="K75" s="53"/>
      <c r="L75" s="58"/>
      <c r="M75" s="58"/>
    </row>
    <row r="76">
      <c r="A76" s="58"/>
      <c r="B76" s="58"/>
      <c r="C76" s="53"/>
      <c r="D76" s="53"/>
      <c r="E76" s="53"/>
      <c r="F76" s="55"/>
      <c r="G76" s="55"/>
      <c r="H76" s="58"/>
      <c r="I76" s="69"/>
      <c r="J76" s="69"/>
      <c r="K76" s="53"/>
      <c r="L76" s="58"/>
      <c r="M76" s="58"/>
    </row>
    <row r="77">
      <c r="A77" s="58"/>
      <c r="B77" s="59" t="s">
        <v>156</v>
      </c>
      <c r="C77" s="53"/>
      <c r="D77" s="53"/>
      <c r="E77" s="53"/>
      <c r="F77" s="55"/>
      <c r="G77" s="55"/>
      <c r="H77" s="58"/>
      <c r="I77" s="69"/>
      <c r="J77" s="69"/>
      <c r="K77" s="53"/>
      <c r="L77" s="58"/>
      <c r="M77" s="58"/>
    </row>
    <row r="78">
      <c r="A78" s="58"/>
      <c r="B78" s="71" t="s">
        <v>157</v>
      </c>
      <c r="C78" s="61" t="s">
        <v>83</v>
      </c>
      <c r="D78" s="62" t="s">
        <v>39</v>
      </c>
      <c r="E78" s="54" t="s">
        <v>158</v>
      </c>
      <c r="F78" s="31">
        <v>46230</v>
      </c>
      <c r="G78" s="31">
        <v>46232</v>
      </c>
      <c r="H78" s="54">
        <v>3</v>
      </c>
      <c r="I78" s="69"/>
      <c r="J78" s="69"/>
      <c r="K78" s="5" t="s">
        <v>44</v>
      </c>
      <c r="L78" s="58"/>
      <c r="M78" s="58"/>
    </row>
    <row r="79">
      <c r="A79" s="58"/>
      <c r="B79" s="58"/>
      <c r="C79" s="53"/>
      <c r="D79" s="62"/>
      <c r="E79" s="53"/>
      <c r="F79" s="55"/>
      <c r="G79" s="55"/>
      <c r="H79" s="58"/>
      <c r="I79" s="69"/>
      <c r="J79" s="69"/>
      <c r="K79" s="53"/>
      <c r="L79" s="58"/>
      <c r="M79" s="58"/>
    </row>
    <row r="80">
      <c r="A80" s="58"/>
      <c r="B80" s="58"/>
      <c r="C80" s="53"/>
      <c r="D80" s="53"/>
      <c r="E80" s="53"/>
      <c r="F80" s="55"/>
      <c r="G80" s="55"/>
      <c r="H80" s="58"/>
      <c r="I80" s="69"/>
      <c r="J80" s="69"/>
      <c r="K80" s="53"/>
      <c r="L80" s="58"/>
      <c r="M80" s="58"/>
    </row>
    <row r="81">
      <c r="A81" s="58"/>
      <c r="B81" s="58"/>
      <c r="C81" s="53"/>
      <c r="D81" s="53"/>
      <c r="E81" s="53"/>
      <c r="F81" s="55"/>
      <c r="G81" s="55"/>
      <c r="H81" s="58"/>
      <c r="I81" s="69"/>
      <c r="J81" s="69"/>
      <c r="K81" s="53"/>
      <c r="L81" s="58"/>
      <c r="M81" s="58"/>
    </row>
    <row r="82">
      <c r="A82" s="58"/>
      <c r="B82" s="58"/>
      <c r="C82" s="53"/>
      <c r="D82" s="53"/>
      <c r="E82" s="53"/>
      <c r="F82" s="55"/>
      <c r="G82" s="55"/>
      <c r="H82" s="58"/>
      <c r="I82" s="69"/>
      <c r="J82" s="69"/>
      <c r="K82" s="53"/>
      <c r="L82" s="58"/>
      <c r="M82" s="58"/>
    </row>
    <row r="83">
      <c r="A83" s="58"/>
      <c r="B83" s="58"/>
      <c r="C83" s="53"/>
      <c r="D83" s="53"/>
      <c r="E83" s="53"/>
      <c r="F83" s="55"/>
      <c r="G83" s="55"/>
      <c r="H83" s="58"/>
      <c r="I83" s="69"/>
      <c r="J83" s="69"/>
      <c r="K83" s="53"/>
      <c r="L83" s="58"/>
      <c r="M83" s="58"/>
    </row>
    <row r="84">
      <c r="A84" s="58"/>
      <c r="B84" s="58"/>
      <c r="C84" s="53"/>
      <c r="D84" s="53"/>
      <c r="E84" s="53"/>
      <c r="F84" s="55"/>
      <c r="G84" s="55"/>
      <c r="H84" s="58"/>
      <c r="I84" s="69"/>
      <c r="J84" s="69"/>
      <c r="K84" s="53"/>
      <c r="L84" s="58"/>
      <c r="M84" s="58"/>
    </row>
    <row r="85">
      <c r="A85" s="58"/>
      <c r="B85" s="58"/>
      <c r="C85" s="53"/>
      <c r="D85" s="53"/>
      <c r="E85" s="53"/>
      <c r="F85" s="55"/>
      <c r="G85" s="55"/>
      <c r="H85" s="58"/>
      <c r="I85" s="69"/>
      <c r="J85" s="69"/>
      <c r="K85" s="53"/>
      <c r="L85" s="58"/>
      <c r="M85" s="58"/>
    </row>
    <row r="86">
      <c r="A86" s="58"/>
      <c r="B86" s="58"/>
      <c r="C86" s="53"/>
      <c r="D86" s="53"/>
      <c r="E86" s="53"/>
      <c r="F86" s="55"/>
      <c r="G86" s="55"/>
      <c r="H86" s="58"/>
      <c r="I86" s="69"/>
      <c r="J86" s="69"/>
      <c r="K86" s="53"/>
      <c r="L86" s="58"/>
      <c r="M86" s="58"/>
    </row>
    <row r="87">
      <c r="A87" s="58"/>
      <c r="B87" s="58"/>
      <c r="C87" s="53"/>
      <c r="D87" s="53"/>
      <c r="E87" s="53"/>
      <c r="F87" s="55"/>
      <c r="G87" s="55"/>
      <c r="H87" s="58"/>
      <c r="I87" s="69"/>
      <c r="J87" s="69"/>
      <c r="K87" s="53"/>
      <c r="L87" s="58"/>
      <c r="M87" s="58"/>
    </row>
    <row r="88">
      <c r="A88" s="58"/>
      <c r="B88" s="58"/>
      <c r="C88" s="53"/>
      <c r="D88" s="53"/>
      <c r="E88" s="53"/>
      <c r="F88" s="55"/>
      <c r="G88" s="55"/>
      <c r="H88" s="58"/>
      <c r="I88" s="69"/>
      <c r="J88" s="69"/>
      <c r="K88" s="53"/>
      <c r="L88" s="58"/>
      <c r="M88" s="58"/>
    </row>
    <row r="89">
      <c r="A89" s="72"/>
      <c r="B89" s="72"/>
      <c r="C89" s="73"/>
      <c r="D89" s="73"/>
      <c r="E89" s="73"/>
      <c r="F89" s="74"/>
      <c r="G89" s="74"/>
      <c r="H89" s="72"/>
      <c r="I89" s="75"/>
      <c r="J89" s="75"/>
      <c r="K89" s="73"/>
      <c r="L89" s="72"/>
      <c r="M89" s="72"/>
    </row>
    <row r="90">
      <c r="C90" s="73"/>
      <c r="D90" s="73"/>
      <c r="E90" s="73"/>
      <c r="F90" s="74"/>
      <c r="G90" s="74"/>
      <c r="I90" s="75"/>
      <c r="J90" s="75"/>
      <c r="K90" s="73"/>
      <c r="M90" s="72"/>
    </row>
    <row r="91">
      <c r="C91" s="73"/>
      <c r="D91" s="73"/>
      <c r="E91" s="73"/>
      <c r="F91" s="74"/>
      <c r="G91" s="74"/>
      <c r="I91" s="75"/>
      <c r="J91" s="75"/>
      <c r="K91" s="73"/>
      <c r="M91" s="72"/>
    </row>
    <row r="92">
      <c r="C92" s="73"/>
      <c r="D92" s="73"/>
      <c r="E92" s="73"/>
      <c r="F92" s="74"/>
      <c r="G92" s="74"/>
      <c r="I92" s="75"/>
      <c r="J92" s="75"/>
      <c r="K92" s="73"/>
      <c r="M92" s="72"/>
    </row>
    <row r="93">
      <c r="C93" s="73"/>
      <c r="D93" s="73"/>
      <c r="E93" s="73"/>
      <c r="F93" s="74"/>
      <c r="G93" s="74"/>
      <c r="I93" s="75"/>
      <c r="J93" s="75"/>
      <c r="K93" s="73"/>
      <c r="M93" s="72"/>
    </row>
    <row r="94">
      <c r="C94" s="73"/>
      <c r="D94" s="73"/>
      <c r="E94" s="73"/>
      <c r="F94" s="74"/>
      <c r="G94" s="74"/>
      <c r="I94" s="75"/>
      <c r="J94" s="75"/>
      <c r="K94" s="73"/>
      <c r="M94" s="72"/>
    </row>
    <row r="95">
      <c r="C95" s="73"/>
      <c r="D95" s="73"/>
      <c r="E95" s="73"/>
      <c r="F95" s="74"/>
      <c r="G95" s="74"/>
      <c r="I95" s="75"/>
      <c r="J95" s="75"/>
      <c r="K95" s="73"/>
      <c r="M95" s="72"/>
    </row>
    <row r="96">
      <c r="C96" s="73"/>
      <c r="D96" s="73"/>
      <c r="E96" s="73"/>
      <c r="F96" s="74"/>
      <c r="G96" s="74"/>
      <c r="I96" s="75"/>
      <c r="J96" s="75"/>
      <c r="K96" s="73"/>
      <c r="M96" s="72"/>
    </row>
    <row r="97">
      <c r="C97" s="73"/>
      <c r="D97" s="73"/>
      <c r="E97" s="73"/>
      <c r="F97" s="74"/>
      <c r="G97" s="74"/>
      <c r="I97" s="75"/>
      <c r="J97" s="75"/>
      <c r="K97" s="73"/>
      <c r="M97" s="72"/>
    </row>
    <row r="98">
      <c r="C98" s="73"/>
      <c r="D98" s="73"/>
      <c r="E98" s="73"/>
      <c r="F98" s="74"/>
      <c r="G98" s="74"/>
      <c r="I98" s="75"/>
      <c r="J98" s="75"/>
      <c r="K98" s="73"/>
      <c r="M98" s="72"/>
    </row>
    <row r="99">
      <c r="C99" s="73"/>
      <c r="D99" s="73"/>
      <c r="E99" s="73"/>
      <c r="F99" s="74"/>
      <c r="G99" s="74"/>
      <c r="I99" s="75"/>
      <c r="J99" s="75"/>
      <c r="K99" s="73"/>
      <c r="M99" s="72"/>
    </row>
    <row r="100">
      <c r="C100" s="73"/>
      <c r="D100" s="73"/>
      <c r="E100" s="73"/>
      <c r="F100" s="74"/>
      <c r="G100" s="74"/>
      <c r="I100" s="75"/>
      <c r="J100" s="75"/>
      <c r="K100" s="73"/>
      <c r="M100" s="72"/>
    </row>
    <row r="101">
      <c r="C101" s="73"/>
      <c r="D101" s="73"/>
      <c r="E101" s="73"/>
      <c r="F101" s="74"/>
      <c r="G101" s="74"/>
      <c r="I101" s="75"/>
      <c r="J101" s="75"/>
      <c r="K101" s="73"/>
      <c r="M101" s="72"/>
    </row>
    <row r="102">
      <c r="C102" s="73"/>
      <c r="D102" s="73"/>
      <c r="E102" s="73"/>
      <c r="F102" s="74"/>
      <c r="G102" s="74"/>
      <c r="I102" s="75"/>
      <c r="J102" s="75"/>
      <c r="K102" s="73"/>
      <c r="M102" s="72"/>
    </row>
    <row r="103">
      <c r="C103" s="73"/>
      <c r="D103" s="73"/>
      <c r="E103" s="73"/>
      <c r="F103" s="74"/>
      <c r="G103" s="74"/>
      <c r="I103" s="75"/>
      <c r="J103" s="75"/>
      <c r="K103" s="73"/>
      <c r="M103" s="72"/>
    </row>
    <row r="104">
      <c r="C104" s="73"/>
      <c r="D104" s="73"/>
      <c r="E104" s="73"/>
      <c r="F104" s="74"/>
      <c r="G104" s="74"/>
      <c r="I104" s="75"/>
      <c r="J104" s="75"/>
      <c r="K104" s="73"/>
      <c r="M104" s="72"/>
    </row>
    <row r="105">
      <c r="C105" s="73"/>
      <c r="D105" s="73"/>
      <c r="E105" s="73"/>
      <c r="F105" s="74"/>
      <c r="G105" s="74"/>
      <c r="I105" s="75"/>
      <c r="J105" s="75"/>
      <c r="K105" s="73"/>
      <c r="M105" s="72"/>
    </row>
    <row r="106">
      <c r="C106" s="73"/>
      <c r="D106" s="73"/>
      <c r="E106" s="73"/>
      <c r="F106" s="74"/>
      <c r="G106" s="74"/>
      <c r="I106" s="75"/>
      <c r="J106" s="75"/>
      <c r="K106" s="73"/>
      <c r="M106" s="72"/>
    </row>
    <row r="107">
      <c r="C107" s="73"/>
      <c r="D107" s="73"/>
      <c r="E107" s="73"/>
      <c r="F107" s="74"/>
      <c r="G107" s="74"/>
      <c r="I107" s="75"/>
      <c r="J107" s="75"/>
      <c r="K107" s="73"/>
      <c r="M107" s="72"/>
    </row>
    <row r="108">
      <c r="C108" s="73"/>
      <c r="D108" s="73"/>
      <c r="E108" s="73"/>
      <c r="F108" s="74"/>
      <c r="G108" s="74"/>
      <c r="I108" s="75"/>
      <c r="J108" s="75"/>
      <c r="K108" s="73"/>
      <c r="M108" s="72"/>
    </row>
    <row r="109">
      <c r="C109" s="73"/>
      <c r="D109" s="73"/>
      <c r="E109" s="73"/>
      <c r="F109" s="74"/>
      <c r="G109" s="74"/>
      <c r="I109" s="75"/>
      <c r="J109" s="75"/>
      <c r="K109" s="73"/>
      <c r="M109" s="72"/>
    </row>
    <row r="110">
      <c r="C110" s="73"/>
      <c r="D110" s="73"/>
      <c r="E110" s="73"/>
      <c r="F110" s="74"/>
      <c r="G110" s="74"/>
      <c r="I110" s="75"/>
      <c r="J110" s="75"/>
      <c r="K110" s="73"/>
      <c r="M110" s="72"/>
    </row>
    <row r="111">
      <c r="C111" s="73"/>
      <c r="D111" s="73"/>
      <c r="E111" s="73"/>
      <c r="F111" s="74"/>
      <c r="G111" s="74"/>
      <c r="I111" s="75"/>
      <c r="J111" s="75"/>
      <c r="K111" s="73"/>
      <c r="M111" s="72"/>
    </row>
    <row r="112">
      <c r="C112" s="73"/>
      <c r="D112" s="73"/>
      <c r="E112" s="73"/>
      <c r="F112" s="74"/>
      <c r="G112" s="74"/>
      <c r="I112" s="75"/>
      <c r="J112" s="75"/>
      <c r="K112" s="73"/>
      <c r="M112" s="72"/>
    </row>
    <row r="113">
      <c r="C113" s="73"/>
      <c r="D113" s="73"/>
      <c r="E113" s="73"/>
      <c r="F113" s="74"/>
      <c r="G113" s="74"/>
      <c r="I113" s="75"/>
      <c r="J113" s="75"/>
      <c r="K113" s="73"/>
      <c r="M113" s="72"/>
    </row>
    <row r="114">
      <c r="C114" s="73"/>
      <c r="D114" s="73"/>
      <c r="E114" s="73"/>
      <c r="F114" s="74"/>
      <c r="G114" s="74"/>
      <c r="I114" s="75"/>
      <c r="J114" s="75"/>
      <c r="K114" s="73"/>
      <c r="M114" s="72"/>
    </row>
    <row r="115">
      <c r="C115" s="73"/>
      <c r="D115" s="73"/>
      <c r="E115" s="73"/>
      <c r="F115" s="74"/>
      <c r="G115" s="74"/>
      <c r="I115" s="75"/>
      <c r="J115" s="75"/>
      <c r="K115" s="73"/>
      <c r="M115" s="72"/>
    </row>
    <row r="116">
      <c r="C116" s="73"/>
      <c r="D116" s="73"/>
      <c r="E116" s="73"/>
      <c r="F116" s="74"/>
      <c r="G116" s="74"/>
      <c r="I116" s="75"/>
      <c r="J116" s="75"/>
      <c r="K116" s="73"/>
      <c r="M116" s="72"/>
    </row>
    <row r="117">
      <c r="C117" s="73"/>
      <c r="D117" s="73"/>
      <c r="E117" s="73"/>
      <c r="F117" s="74"/>
      <c r="G117" s="74"/>
      <c r="I117" s="75"/>
      <c r="J117" s="75"/>
      <c r="K117" s="73"/>
      <c r="M117" s="72"/>
    </row>
    <row r="118">
      <c r="C118" s="73"/>
      <c r="D118" s="73"/>
      <c r="E118" s="73"/>
      <c r="F118" s="74"/>
      <c r="G118" s="74"/>
      <c r="I118" s="75"/>
      <c r="J118" s="75"/>
      <c r="K118" s="73"/>
      <c r="M118" s="72"/>
    </row>
    <row r="119">
      <c r="C119" s="73"/>
      <c r="D119" s="73"/>
      <c r="E119" s="73"/>
      <c r="F119" s="74"/>
      <c r="G119" s="74"/>
      <c r="I119" s="75"/>
      <c r="J119" s="75"/>
      <c r="K119" s="73"/>
      <c r="M119" s="72"/>
    </row>
    <row r="120">
      <c r="C120" s="73"/>
      <c r="D120" s="73"/>
      <c r="E120" s="73"/>
      <c r="F120" s="74"/>
      <c r="G120" s="74"/>
      <c r="I120" s="75"/>
      <c r="J120" s="75"/>
      <c r="K120" s="73"/>
      <c r="M120" s="72"/>
    </row>
    <row r="121">
      <c r="C121" s="73"/>
      <c r="D121" s="73"/>
      <c r="E121" s="73"/>
      <c r="F121" s="74"/>
      <c r="G121" s="74"/>
      <c r="I121" s="75"/>
      <c r="J121" s="75"/>
      <c r="K121" s="73"/>
      <c r="M121" s="72"/>
    </row>
    <row r="122">
      <c r="C122" s="73"/>
      <c r="D122" s="73"/>
      <c r="E122" s="73"/>
      <c r="F122" s="74"/>
      <c r="G122" s="74"/>
      <c r="I122" s="75"/>
      <c r="J122" s="75"/>
      <c r="K122" s="73"/>
      <c r="M122" s="72"/>
    </row>
    <row r="123">
      <c r="C123" s="73"/>
      <c r="D123" s="73"/>
      <c r="E123" s="73"/>
      <c r="F123" s="74"/>
      <c r="G123" s="74"/>
      <c r="I123" s="75"/>
      <c r="J123" s="75"/>
      <c r="K123" s="73"/>
      <c r="M123" s="72"/>
    </row>
    <row r="124">
      <c r="C124" s="73"/>
      <c r="D124" s="73"/>
      <c r="E124" s="73"/>
      <c r="F124" s="74"/>
      <c r="G124" s="74"/>
      <c r="I124" s="75"/>
      <c r="J124" s="75"/>
      <c r="K124" s="73"/>
      <c r="M124" s="72"/>
    </row>
    <row r="125">
      <c r="C125" s="73"/>
      <c r="D125" s="73"/>
      <c r="E125" s="73"/>
      <c r="F125" s="74"/>
      <c r="G125" s="74"/>
      <c r="I125" s="75"/>
      <c r="J125" s="75"/>
      <c r="K125" s="73"/>
      <c r="M125" s="72"/>
    </row>
    <row r="126">
      <c r="C126" s="73"/>
      <c r="D126" s="73"/>
      <c r="E126" s="73"/>
      <c r="F126" s="74"/>
      <c r="G126" s="74"/>
      <c r="I126" s="75"/>
      <c r="J126" s="75"/>
      <c r="K126" s="73"/>
      <c r="M126" s="72"/>
    </row>
    <row r="127">
      <c r="C127" s="73"/>
      <c r="D127" s="73"/>
      <c r="E127" s="73"/>
      <c r="F127" s="74"/>
      <c r="G127" s="74"/>
      <c r="I127" s="75"/>
      <c r="J127" s="75"/>
      <c r="K127" s="73"/>
      <c r="M127" s="72"/>
    </row>
    <row r="128">
      <c r="C128" s="73"/>
      <c r="D128" s="73"/>
      <c r="E128" s="73"/>
      <c r="F128" s="74"/>
      <c r="G128" s="74"/>
      <c r="I128" s="75"/>
      <c r="J128" s="75"/>
      <c r="K128" s="73"/>
      <c r="M128" s="72"/>
    </row>
    <row r="129">
      <c r="C129" s="73"/>
      <c r="D129" s="73"/>
      <c r="E129" s="73"/>
      <c r="F129" s="74"/>
      <c r="G129" s="74"/>
      <c r="I129" s="75"/>
      <c r="J129" s="75"/>
      <c r="K129" s="73"/>
      <c r="M129" s="72"/>
    </row>
    <row r="130">
      <c r="C130" s="73"/>
      <c r="D130" s="73"/>
      <c r="E130" s="73"/>
      <c r="F130" s="74"/>
      <c r="G130" s="74"/>
      <c r="I130" s="75"/>
      <c r="J130" s="75"/>
      <c r="K130" s="73"/>
      <c r="M130" s="72"/>
    </row>
    <row r="131">
      <c r="C131" s="73"/>
      <c r="D131" s="73"/>
      <c r="E131" s="73"/>
      <c r="F131" s="74"/>
      <c r="G131" s="74"/>
      <c r="I131" s="75"/>
      <c r="J131" s="75"/>
      <c r="K131" s="73"/>
      <c r="M131" s="72"/>
    </row>
    <row r="132">
      <c r="C132" s="73"/>
      <c r="D132" s="73"/>
      <c r="E132" s="73"/>
      <c r="F132" s="74"/>
      <c r="G132" s="74"/>
      <c r="I132" s="75"/>
      <c r="J132" s="75"/>
      <c r="K132" s="73"/>
      <c r="M132" s="72"/>
    </row>
    <row r="133">
      <c r="C133" s="73"/>
      <c r="D133" s="73"/>
      <c r="E133" s="73"/>
      <c r="F133" s="74"/>
      <c r="G133" s="74"/>
      <c r="I133" s="75"/>
      <c r="J133" s="75"/>
      <c r="K133" s="73"/>
      <c r="M133" s="72"/>
    </row>
    <row r="134">
      <c r="C134" s="73"/>
      <c r="D134" s="73"/>
      <c r="E134" s="73"/>
      <c r="F134" s="74"/>
      <c r="G134" s="74"/>
      <c r="I134" s="75"/>
      <c r="J134" s="75"/>
      <c r="K134" s="73"/>
      <c r="M134" s="72"/>
    </row>
    <row r="135">
      <c r="C135" s="73"/>
      <c r="D135" s="73"/>
      <c r="E135" s="73"/>
      <c r="F135" s="74"/>
      <c r="G135" s="74"/>
      <c r="I135" s="75"/>
      <c r="J135" s="75"/>
      <c r="K135" s="73"/>
      <c r="M135" s="72"/>
    </row>
    <row r="136">
      <c r="C136" s="73"/>
      <c r="D136" s="73"/>
      <c r="E136" s="73"/>
      <c r="F136" s="74"/>
      <c r="G136" s="74"/>
      <c r="I136" s="75"/>
      <c r="J136" s="75"/>
      <c r="K136" s="73"/>
      <c r="M136" s="72"/>
    </row>
    <row r="137">
      <c r="C137" s="73"/>
      <c r="D137" s="73"/>
      <c r="E137" s="73"/>
      <c r="F137" s="74"/>
      <c r="G137" s="74"/>
      <c r="I137" s="75"/>
      <c r="J137" s="75"/>
      <c r="K137" s="73"/>
      <c r="M137" s="72"/>
    </row>
    <row r="138">
      <c r="C138" s="73"/>
      <c r="D138" s="73"/>
      <c r="E138" s="73"/>
      <c r="F138" s="74"/>
      <c r="G138" s="74"/>
      <c r="I138" s="75"/>
      <c r="J138" s="75"/>
      <c r="K138" s="73"/>
      <c r="M138" s="72"/>
    </row>
    <row r="139">
      <c r="C139" s="73"/>
      <c r="D139" s="73"/>
      <c r="E139" s="73"/>
      <c r="F139" s="74"/>
      <c r="G139" s="74"/>
      <c r="I139" s="75"/>
      <c r="J139" s="75"/>
      <c r="K139" s="73"/>
      <c r="M139" s="72"/>
    </row>
    <row r="140">
      <c r="C140" s="73"/>
      <c r="D140" s="73"/>
      <c r="E140" s="73"/>
      <c r="F140" s="74"/>
      <c r="G140" s="74"/>
      <c r="I140" s="75"/>
      <c r="J140" s="75"/>
      <c r="K140" s="73"/>
      <c r="M140" s="72"/>
    </row>
    <row r="141">
      <c r="C141" s="73"/>
      <c r="D141" s="73"/>
      <c r="E141" s="73"/>
      <c r="F141" s="74"/>
      <c r="G141" s="74"/>
      <c r="I141" s="75"/>
      <c r="J141" s="75"/>
      <c r="K141" s="73"/>
      <c r="M141" s="72"/>
    </row>
    <row r="142">
      <c r="C142" s="73"/>
      <c r="D142" s="73"/>
      <c r="E142" s="73"/>
      <c r="F142" s="74"/>
      <c r="G142" s="74"/>
      <c r="I142" s="75"/>
      <c r="J142" s="75"/>
      <c r="K142" s="73"/>
      <c r="M142" s="72"/>
    </row>
    <row r="143">
      <c r="C143" s="73"/>
      <c r="D143" s="73"/>
      <c r="E143" s="73"/>
      <c r="F143" s="74"/>
      <c r="G143" s="74"/>
      <c r="I143" s="75"/>
      <c r="J143" s="75"/>
      <c r="K143" s="73"/>
      <c r="M143" s="72"/>
    </row>
    <row r="144">
      <c r="C144" s="73"/>
      <c r="D144" s="73"/>
      <c r="E144" s="73"/>
      <c r="F144" s="74"/>
      <c r="G144" s="74"/>
      <c r="I144" s="75"/>
      <c r="J144" s="75"/>
      <c r="K144" s="73"/>
      <c r="M144" s="72"/>
    </row>
    <row r="145">
      <c r="C145" s="73"/>
      <c r="D145" s="73"/>
      <c r="E145" s="73"/>
      <c r="F145" s="74"/>
      <c r="G145" s="74"/>
      <c r="I145" s="75"/>
      <c r="J145" s="75"/>
      <c r="K145" s="73"/>
      <c r="M145" s="72"/>
    </row>
    <row r="146">
      <c r="C146" s="73"/>
      <c r="D146" s="73"/>
      <c r="E146" s="73"/>
      <c r="F146" s="74"/>
      <c r="G146" s="74"/>
      <c r="I146" s="75"/>
      <c r="J146" s="75"/>
      <c r="K146" s="73"/>
      <c r="M146" s="72"/>
    </row>
    <row r="147">
      <c r="C147" s="73"/>
      <c r="D147" s="73"/>
      <c r="E147" s="73"/>
      <c r="F147" s="74"/>
      <c r="G147" s="74"/>
      <c r="I147" s="75"/>
      <c r="J147" s="75"/>
      <c r="K147" s="73"/>
      <c r="M147" s="72"/>
    </row>
    <row r="148">
      <c r="C148" s="73"/>
      <c r="D148" s="73"/>
      <c r="E148" s="73"/>
      <c r="F148" s="74"/>
      <c r="G148" s="74"/>
      <c r="I148" s="75"/>
      <c r="J148" s="75"/>
      <c r="K148" s="73"/>
      <c r="M148" s="72"/>
    </row>
    <row r="149">
      <c r="C149" s="73"/>
      <c r="D149" s="73"/>
      <c r="E149" s="73"/>
      <c r="F149" s="74"/>
      <c r="G149" s="74"/>
      <c r="I149" s="75"/>
      <c r="J149" s="75"/>
      <c r="K149" s="73"/>
      <c r="M149" s="72"/>
    </row>
    <row r="150">
      <c r="C150" s="73"/>
      <c r="D150" s="73"/>
      <c r="E150" s="73"/>
      <c r="F150" s="74"/>
      <c r="G150" s="74"/>
      <c r="I150" s="75"/>
      <c r="J150" s="75"/>
      <c r="K150" s="73"/>
      <c r="M150" s="72"/>
    </row>
    <row r="151">
      <c r="C151" s="73"/>
      <c r="D151" s="73"/>
      <c r="E151" s="73"/>
      <c r="F151" s="74"/>
      <c r="G151" s="74"/>
      <c r="I151" s="75"/>
      <c r="J151" s="75"/>
      <c r="K151" s="73"/>
      <c r="M151" s="72"/>
    </row>
    <row r="152">
      <c r="C152" s="73"/>
      <c r="D152" s="73"/>
      <c r="E152" s="73"/>
      <c r="F152" s="74"/>
      <c r="G152" s="74"/>
      <c r="I152" s="75"/>
      <c r="J152" s="75"/>
      <c r="K152" s="73"/>
      <c r="M152" s="72"/>
    </row>
    <row r="153">
      <c r="C153" s="73"/>
      <c r="D153" s="73"/>
      <c r="E153" s="73"/>
      <c r="F153" s="74"/>
      <c r="G153" s="74"/>
      <c r="I153" s="75"/>
      <c r="J153" s="75"/>
      <c r="K153" s="73"/>
      <c r="M153" s="72"/>
    </row>
    <row r="154">
      <c r="C154" s="73"/>
      <c r="D154" s="73"/>
      <c r="E154" s="73"/>
      <c r="F154" s="74"/>
      <c r="G154" s="74"/>
      <c r="I154" s="75"/>
      <c r="J154" s="75"/>
      <c r="K154" s="73"/>
      <c r="M154" s="72"/>
    </row>
    <row r="155">
      <c r="C155" s="73"/>
      <c r="D155" s="73"/>
      <c r="E155" s="73"/>
      <c r="F155" s="74"/>
      <c r="G155" s="74"/>
      <c r="I155" s="75"/>
      <c r="J155" s="75"/>
      <c r="K155" s="73"/>
      <c r="M155" s="72"/>
    </row>
    <row r="156">
      <c r="C156" s="73"/>
      <c r="D156" s="73"/>
      <c r="E156" s="73"/>
      <c r="F156" s="74"/>
      <c r="G156" s="74"/>
      <c r="I156" s="75"/>
      <c r="J156" s="75"/>
      <c r="K156" s="73"/>
      <c r="M156" s="72"/>
    </row>
    <row r="157">
      <c r="C157" s="73"/>
      <c r="D157" s="73"/>
      <c r="E157" s="73"/>
      <c r="F157" s="74"/>
      <c r="G157" s="74"/>
      <c r="I157" s="75"/>
      <c r="J157" s="75"/>
      <c r="K157" s="73"/>
      <c r="M157" s="72"/>
    </row>
    <row r="158">
      <c r="C158" s="73"/>
      <c r="D158" s="73"/>
      <c r="E158" s="73"/>
      <c r="F158" s="74"/>
      <c r="G158" s="74"/>
      <c r="I158" s="75"/>
      <c r="J158" s="75"/>
      <c r="K158" s="73"/>
      <c r="M158" s="72"/>
    </row>
    <row r="159">
      <c r="C159" s="73"/>
      <c r="D159" s="73"/>
      <c r="E159" s="73"/>
      <c r="F159" s="74"/>
      <c r="G159" s="74"/>
      <c r="I159" s="75"/>
      <c r="J159" s="75"/>
      <c r="K159" s="73"/>
      <c r="M159" s="72"/>
    </row>
    <row r="160">
      <c r="C160" s="73"/>
      <c r="D160" s="73"/>
      <c r="E160" s="73"/>
      <c r="F160" s="74"/>
      <c r="G160" s="74"/>
      <c r="I160" s="75"/>
      <c r="J160" s="75"/>
      <c r="K160" s="73"/>
      <c r="M160" s="72"/>
    </row>
    <row r="161">
      <c r="C161" s="73"/>
      <c r="D161" s="73"/>
      <c r="E161" s="73"/>
      <c r="F161" s="74"/>
      <c r="G161" s="74"/>
      <c r="I161" s="75"/>
      <c r="J161" s="75"/>
      <c r="K161" s="73"/>
      <c r="M161" s="72"/>
    </row>
    <row r="162">
      <c r="C162" s="73"/>
      <c r="D162" s="73"/>
      <c r="E162" s="73"/>
      <c r="F162" s="74"/>
      <c r="G162" s="74"/>
      <c r="I162" s="75"/>
      <c r="J162" s="75"/>
      <c r="K162" s="73"/>
      <c r="M162" s="72"/>
    </row>
    <row r="163">
      <c r="C163" s="73"/>
      <c r="D163" s="73"/>
      <c r="E163" s="73"/>
      <c r="F163" s="74"/>
      <c r="G163" s="74"/>
      <c r="I163" s="75"/>
      <c r="J163" s="75"/>
      <c r="K163" s="73"/>
      <c r="M163" s="72"/>
    </row>
    <row r="164">
      <c r="C164" s="73"/>
      <c r="D164" s="73"/>
      <c r="E164" s="73"/>
      <c r="F164" s="74"/>
      <c r="G164" s="74"/>
      <c r="I164" s="75"/>
      <c r="J164" s="75"/>
      <c r="K164" s="73"/>
      <c r="M164" s="72"/>
    </row>
    <row r="165">
      <c r="C165" s="73"/>
      <c r="D165" s="73"/>
      <c r="E165" s="73"/>
      <c r="F165" s="74"/>
      <c r="G165" s="74"/>
      <c r="I165" s="75"/>
      <c r="J165" s="75"/>
      <c r="K165" s="73"/>
      <c r="M165" s="72"/>
    </row>
    <row r="166">
      <c r="C166" s="73"/>
      <c r="D166" s="73"/>
      <c r="E166" s="73"/>
      <c r="F166" s="74"/>
      <c r="G166" s="74"/>
      <c r="I166" s="75"/>
      <c r="J166" s="75"/>
      <c r="K166" s="73"/>
      <c r="M166" s="72"/>
    </row>
    <row r="167">
      <c r="C167" s="73"/>
      <c r="D167" s="73"/>
      <c r="E167" s="73"/>
      <c r="F167" s="74"/>
      <c r="G167" s="74"/>
      <c r="I167" s="75"/>
      <c r="J167" s="75"/>
      <c r="K167" s="73"/>
      <c r="M167" s="72"/>
    </row>
    <row r="168">
      <c r="C168" s="73"/>
      <c r="D168" s="73"/>
      <c r="E168" s="73"/>
      <c r="F168" s="74"/>
      <c r="G168" s="74"/>
      <c r="I168" s="75"/>
      <c r="J168" s="75"/>
      <c r="K168" s="73"/>
      <c r="M168" s="72"/>
    </row>
    <row r="169">
      <c r="C169" s="73"/>
      <c r="D169" s="73"/>
      <c r="E169" s="73"/>
      <c r="F169" s="74"/>
      <c r="G169" s="74"/>
      <c r="I169" s="75"/>
      <c r="J169" s="75"/>
      <c r="K169" s="73"/>
      <c r="M169" s="72"/>
    </row>
    <row r="170">
      <c r="C170" s="73"/>
      <c r="D170" s="73"/>
      <c r="E170" s="73"/>
      <c r="F170" s="74"/>
      <c r="G170" s="74"/>
      <c r="I170" s="75"/>
      <c r="J170" s="75"/>
      <c r="K170" s="73"/>
      <c r="M170" s="72"/>
    </row>
    <row r="171">
      <c r="C171" s="73"/>
      <c r="D171" s="73"/>
      <c r="E171" s="73"/>
      <c r="F171" s="74"/>
      <c r="G171" s="74"/>
      <c r="I171" s="75"/>
      <c r="J171" s="75"/>
      <c r="K171" s="73"/>
      <c r="M171" s="72"/>
    </row>
    <row r="172">
      <c r="C172" s="73"/>
      <c r="D172" s="73"/>
      <c r="E172" s="73"/>
      <c r="F172" s="74"/>
      <c r="G172" s="74"/>
      <c r="I172" s="75"/>
      <c r="J172" s="75"/>
      <c r="K172" s="73"/>
      <c r="M172" s="72"/>
    </row>
    <row r="173">
      <c r="C173" s="73"/>
      <c r="D173" s="73"/>
      <c r="E173" s="73"/>
      <c r="F173" s="74"/>
      <c r="G173" s="74"/>
      <c r="I173" s="75"/>
      <c r="J173" s="75"/>
      <c r="K173" s="73"/>
      <c r="M173" s="72"/>
    </row>
    <row r="174">
      <c r="C174" s="73"/>
      <c r="D174" s="73"/>
      <c r="E174" s="73"/>
      <c r="F174" s="74"/>
      <c r="G174" s="74"/>
      <c r="I174" s="75"/>
      <c r="J174" s="75"/>
      <c r="K174" s="73"/>
      <c r="M174" s="72"/>
    </row>
    <row r="175">
      <c r="C175" s="73"/>
      <c r="D175" s="73"/>
      <c r="E175" s="73"/>
      <c r="F175" s="74"/>
      <c r="G175" s="74"/>
      <c r="I175" s="75"/>
      <c r="J175" s="75"/>
      <c r="K175" s="73"/>
      <c r="M175" s="72"/>
    </row>
    <row r="176">
      <c r="C176" s="73"/>
      <c r="D176" s="73"/>
      <c r="E176" s="73"/>
      <c r="F176" s="74"/>
      <c r="G176" s="74"/>
      <c r="I176" s="75"/>
      <c r="J176" s="75"/>
      <c r="K176" s="73"/>
      <c r="M176" s="72"/>
    </row>
    <row r="177">
      <c r="C177" s="73"/>
      <c r="D177" s="73"/>
      <c r="E177" s="73"/>
      <c r="F177" s="74"/>
      <c r="G177" s="74"/>
      <c r="I177" s="75"/>
      <c r="J177" s="75"/>
      <c r="K177" s="73"/>
      <c r="M177" s="72"/>
    </row>
    <row r="178">
      <c r="C178" s="73"/>
      <c r="D178" s="73"/>
      <c r="E178" s="73"/>
      <c r="F178" s="74"/>
      <c r="G178" s="74"/>
      <c r="I178" s="75"/>
      <c r="J178" s="75"/>
      <c r="K178" s="73"/>
      <c r="M178" s="72"/>
    </row>
    <row r="179">
      <c r="C179" s="73"/>
      <c r="D179" s="73"/>
      <c r="E179" s="73"/>
      <c r="F179" s="74"/>
      <c r="G179" s="74"/>
      <c r="I179" s="75"/>
      <c r="J179" s="75"/>
      <c r="K179" s="73"/>
      <c r="M179" s="72"/>
    </row>
    <row r="180">
      <c r="C180" s="73"/>
      <c r="D180" s="73"/>
      <c r="E180" s="73"/>
      <c r="F180" s="74"/>
      <c r="G180" s="74"/>
      <c r="I180" s="75"/>
      <c r="J180" s="75"/>
      <c r="K180" s="73"/>
      <c r="M180" s="72"/>
    </row>
    <row r="181">
      <c r="C181" s="73"/>
      <c r="D181" s="73"/>
      <c r="E181" s="73"/>
      <c r="F181" s="74"/>
      <c r="G181" s="74"/>
      <c r="I181" s="75"/>
      <c r="J181" s="75"/>
      <c r="K181" s="73"/>
      <c r="M181" s="72"/>
    </row>
    <row r="182">
      <c r="C182" s="73"/>
      <c r="D182" s="73"/>
      <c r="E182" s="73"/>
      <c r="F182" s="74"/>
      <c r="G182" s="74"/>
      <c r="I182" s="75"/>
      <c r="J182" s="75"/>
      <c r="K182" s="73"/>
      <c r="M182" s="72"/>
    </row>
    <row r="183">
      <c r="C183" s="73"/>
      <c r="D183" s="73"/>
      <c r="E183" s="73"/>
      <c r="F183" s="74"/>
      <c r="G183" s="74"/>
      <c r="I183" s="75"/>
      <c r="J183" s="75"/>
      <c r="K183" s="73"/>
      <c r="M183" s="72"/>
    </row>
    <row r="184">
      <c r="C184" s="73"/>
      <c r="D184" s="73"/>
      <c r="E184" s="73"/>
      <c r="F184" s="74"/>
      <c r="G184" s="74"/>
      <c r="I184" s="75"/>
      <c r="J184" s="75"/>
      <c r="K184" s="73"/>
      <c r="M184" s="72"/>
    </row>
    <row r="185">
      <c r="C185" s="73"/>
      <c r="D185" s="73"/>
      <c r="E185" s="73"/>
      <c r="F185" s="74"/>
      <c r="G185" s="74"/>
      <c r="I185" s="75"/>
      <c r="J185" s="75"/>
      <c r="K185" s="73"/>
      <c r="M185" s="72"/>
    </row>
    <row r="186">
      <c r="C186" s="73"/>
      <c r="D186" s="73"/>
      <c r="E186" s="73"/>
      <c r="F186" s="74"/>
      <c r="G186" s="74"/>
      <c r="I186" s="75"/>
      <c r="J186" s="75"/>
      <c r="K186" s="73"/>
      <c r="M186" s="72"/>
    </row>
    <row r="187">
      <c r="C187" s="73"/>
      <c r="D187" s="73"/>
      <c r="E187" s="73"/>
      <c r="F187" s="74"/>
      <c r="G187" s="74"/>
      <c r="I187" s="75"/>
      <c r="J187" s="75"/>
      <c r="K187" s="73"/>
      <c r="M187" s="72"/>
    </row>
    <row r="188">
      <c r="C188" s="73"/>
      <c r="D188" s="73"/>
      <c r="E188" s="73"/>
      <c r="F188" s="74"/>
      <c r="G188" s="74"/>
      <c r="I188" s="75"/>
      <c r="J188" s="75"/>
      <c r="K188" s="73"/>
      <c r="M188" s="72"/>
    </row>
    <row r="189">
      <c r="C189" s="73"/>
      <c r="D189" s="73"/>
      <c r="E189" s="73"/>
      <c r="F189" s="74"/>
      <c r="G189" s="74"/>
      <c r="I189" s="75"/>
      <c r="J189" s="75"/>
      <c r="K189" s="73"/>
      <c r="M189" s="72"/>
    </row>
    <row r="190">
      <c r="C190" s="73"/>
      <c r="D190" s="73"/>
      <c r="E190" s="73"/>
      <c r="F190" s="74"/>
      <c r="G190" s="74"/>
      <c r="I190" s="75"/>
      <c r="J190" s="75"/>
      <c r="K190" s="73"/>
      <c r="M190" s="72"/>
    </row>
    <row r="191">
      <c r="C191" s="73"/>
      <c r="D191" s="73"/>
      <c r="E191" s="73"/>
      <c r="F191" s="74"/>
      <c r="G191" s="74"/>
      <c r="I191" s="75"/>
      <c r="J191" s="75"/>
      <c r="K191" s="73"/>
      <c r="M191" s="72"/>
    </row>
    <row r="192">
      <c r="C192" s="73"/>
      <c r="D192" s="73"/>
      <c r="E192" s="73"/>
      <c r="F192" s="74"/>
      <c r="G192" s="74"/>
      <c r="I192" s="75"/>
      <c r="J192" s="75"/>
      <c r="K192" s="73"/>
      <c r="M192" s="72"/>
    </row>
    <row r="193">
      <c r="C193" s="73"/>
      <c r="D193" s="73"/>
      <c r="E193" s="73"/>
      <c r="F193" s="74"/>
      <c r="G193" s="74"/>
      <c r="I193" s="75"/>
      <c r="J193" s="75"/>
      <c r="K193" s="73"/>
      <c r="M193" s="72"/>
    </row>
    <row r="194">
      <c r="C194" s="73"/>
      <c r="D194" s="73"/>
      <c r="E194" s="73"/>
      <c r="F194" s="74"/>
      <c r="G194" s="74"/>
      <c r="I194" s="75"/>
      <c r="J194" s="75"/>
      <c r="K194" s="73"/>
      <c r="M194" s="72"/>
    </row>
    <row r="195">
      <c r="C195" s="73"/>
      <c r="D195" s="73"/>
      <c r="E195" s="73"/>
      <c r="F195" s="74"/>
      <c r="G195" s="74"/>
      <c r="I195" s="75"/>
      <c r="J195" s="75"/>
      <c r="K195" s="73"/>
      <c r="M195" s="72"/>
    </row>
    <row r="196">
      <c r="C196" s="73"/>
      <c r="D196" s="73"/>
      <c r="E196" s="73"/>
      <c r="F196" s="74"/>
      <c r="G196" s="74"/>
      <c r="I196" s="75"/>
      <c r="J196" s="75"/>
      <c r="K196" s="73"/>
      <c r="M196" s="72"/>
    </row>
    <row r="197">
      <c r="C197" s="73"/>
      <c r="D197" s="73"/>
      <c r="E197" s="73"/>
      <c r="F197" s="74"/>
      <c r="G197" s="74"/>
      <c r="I197" s="75"/>
      <c r="J197" s="75"/>
      <c r="K197" s="73"/>
      <c r="M197" s="72"/>
    </row>
    <row r="198">
      <c r="C198" s="73"/>
      <c r="D198" s="73"/>
      <c r="E198" s="73"/>
      <c r="F198" s="74"/>
      <c r="G198" s="74"/>
      <c r="I198" s="75"/>
      <c r="J198" s="75"/>
      <c r="K198" s="73"/>
      <c r="M198" s="72"/>
    </row>
    <row r="199">
      <c r="C199" s="73"/>
      <c r="D199" s="73"/>
      <c r="E199" s="73"/>
      <c r="F199" s="74"/>
      <c r="G199" s="74"/>
      <c r="I199" s="75"/>
      <c r="J199" s="75"/>
      <c r="K199" s="73"/>
      <c r="M199" s="72"/>
    </row>
    <row r="200">
      <c r="C200" s="73"/>
      <c r="D200" s="73"/>
      <c r="E200" s="73"/>
      <c r="F200" s="74"/>
      <c r="G200" s="74"/>
      <c r="I200" s="75"/>
      <c r="J200" s="75"/>
      <c r="K200" s="73"/>
      <c r="M200" s="72"/>
    </row>
    <row r="201">
      <c r="C201" s="73"/>
      <c r="D201" s="73"/>
      <c r="E201" s="73"/>
      <c r="F201" s="74"/>
      <c r="G201" s="74"/>
      <c r="I201" s="75"/>
      <c r="J201" s="75"/>
      <c r="K201" s="73"/>
      <c r="M201" s="72"/>
    </row>
    <row r="202">
      <c r="C202" s="73"/>
      <c r="D202" s="73"/>
      <c r="E202" s="73"/>
      <c r="F202" s="74"/>
      <c r="G202" s="74"/>
      <c r="I202" s="75"/>
      <c r="J202" s="75"/>
      <c r="K202" s="73"/>
      <c r="M202" s="72"/>
    </row>
    <row r="203">
      <c r="C203" s="73"/>
      <c r="D203" s="73"/>
      <c r="E203" s="73"/>
      <c r="F203" s="74"/>
      <c r="G203" s="74"/>
      <c r="I203" s="75"/>
      <c r="J203" s="75"/>
      <c r="K203" s="73"/>
      <c r="M203" s="72"/>
    </row>
    <row r="204">
      <c r="C204" s="73"/>
      <c r="D204" s="73"/>
      <c r="E204" s="73"/>
      <c r="F204" s="74"/>
      <c r="G204" s="74"/>
      <c r="I204" s="75"/>
      <c r="J204" s="75"/>
      <c r="K204" s="73"/>
      <c r="M204" s="72"/>
    </row>
    <row r="205">
      <c r="C205" s="73"/>
      <c r="D205" s="73"/>
      <c r="E205" s="73"/>
      <c r="F205" s="74"/>
      <c r="G205" s="74"/>
      <c r="I205" s="75"/>
      <c r="J205" s="75"/>
      <c r="K205" s="73"/>
      <c r="M205" s="72"/>
    </row>
    <row r="206">
      <c r="C206" s="73"/>
      <c r="D206" s="73"/>
      <c r="E206" s="73"/>
      <c r="F206" s="74"/>
      <c r="G206" s="74"/>
      <c r="I206" s="75"/>
      <c r="J206" s="75"/>
      <c r="K206" s="73"/>
      <c r="M206" s="72"/>
    </row>
    <row r="207">
      <c r="C207" s="73"/>
      <c r="D207" s="73"/>
      <c r="E207" s="73"/>
      <c r="F207" s="74"/>
      <c r="G207" s="74"/>
      <c r="I207" s="75"/>
      <c r="J207" s="75"/>
      <c r="K207" s="73"/>
      <c r="M207" s="72"/>
    </row>
    <row r="208">
      <c r="C208" s="73"/>
      <c r="D208" s="73"/>
      <c r="E208" s="73"/>
      <c r="F208" s="74"/>
      <c r="G208" s="74"/>
      <c r="I208" s="75"/>
      <c r="J208" s="75"/>
      <c r="K208" s="73"/>
      <c r="M208" s="72"/>
    </row>
    <row r="209">
      <c r="C209" s="73"/>
      <c r="D209" s="73"/>
      <c r="E209" s="73"/>
      <c r="F209" s="74"/>
      <c r="G209" s="74"/>
      <c r="I209" s="75"/>
      <c r="J209" s="75"/>
      <c r="K209" s="73"/>
      <c r="M209" s="72"/>
    </row>
    <row r="210">
      <c r="C210" s="73"/>
      <c r="D210" s="73"/>
      <c r="E210" s="73"/>
      <c r="F210" s="74"/>
      <c r="G210" s="74"/>
      <c r="I210" s="75"/>
      <c r="J210" s="75"/>
      <c r="K210" s="73"/>
      <c r="M210" s="72"/>
    </row>
    <row r="211">
      <c r="C211" s="73"/>
      <c r="D211" s="73"/>
      <c r="E211" s="73"/>
      <c r="F211" s="74"/>
      <c r="G211" s="74"/>
      <c r="I211" s="75"/>
      <c r="J211" s="75"/>
      <c r="K211" s="73"/>
      <c r="M211" s="72"/>
    </row>
    <row r="212">
      <c r="C212" s="73"/>
      <c r="D212" s="73"/>
      <c r="E212" s="73"/>
      <c r="F212" s="74"/>
      <c r="G212" s="74"/>
      <c r="I212" s="75"/>
      <c r="J212" s="75"/>
      <c r="K212" s="73"/>
      <c r="M212" s="72"/>
    </row>
    <row r="213">
      <c r="C213" s="73"/>
      <c r="D213" s="73"/>
      <c r="E213" s="73"/>
      <c r="F213" s="74"/>
      <c r="G213" s="74"/>
      <c r="I213" s="75"/>
      <c r="J213" s="75"/>
      <c r="K213" s="73"/>
      <c r="M213" s="72"/>
    </row>
    <row r="214">
      <c r="C214" s="73"/>
      <c r="D214" s="73"/>
      <c r="E214" s="73"/>
      <c r="F214" s="74"/>
      <c r="G214" s="74"/>
      <c r="I214" s="75"/>
      <c r="J214" s="75"/>
      <c r="K214" s="73"/>
      <c r="M214" s="72"/>
    </row>
    <row r="215">
      <c r="C215" s="73"/>
      <c r="D215" s="73"/>
      <c r="E215" s="73"/>
      <c r="F215" s="74"/>
      <c r="G215" s="74"/>
      <c r="I215" s="75"/>
      <c r="J215" s="75"/>
      <c r="K215" s="73"/>
      <c r="M215" s="72"/>
    </row>
    <row r="216">
      <c r="C216" s="73"/>
      <c r="D216" s="73"/>
      <c r="E216" s="73"/>
      <c r="F216" s="74"/>
      <c r="G216" s="74"/>
      <c r="I216" s="75"/>
      <c r="J216" s="75"/>
      <c r="K216" s="73"/>
      <c r="M216" s="72"/>
    </row>
    <row r="217">
      <c r="C217" s="73"/>
      <c r="D217" s="73"/>
      <c r="E217" s="73"/>
      <c r="F217" s="74"/>
      <c r="G217" s="74"/>
      <c r="I217" s="75"/>
      <c r="J217" s="75"/>
      <c r="K217" s="73"/>
      <c r="M217" s="72"/>
    </row>
    <row r="218">
      <c r="C218" s="73"/>
      <c r="D218" s="73"/>
      <c r="E218" s="73"/>
      <c r="F218" s="74"/>
      <c r="G218" s="74"/>
      <c r="I218" s="75"/>
      <c r="J218" s="75"/>
      <c r="K218" s="73"/>
      <c r="M218" s="72"/>
    </row>
    <row r="219">
      <c r="C219" s="73"/>
      <c r="D219" s="73"/>
      <c r="E219" s="73"/>
      <c r="F219" s="74"/>
      <c r="G219" s="74"/>
      <c r="I219" s="75"/>
      <c r="J219" s="75"/>
      <c r="K219" s="73"/>
      <c r="M219" s="72"/>
    </row>
    <row r="220">
      <c r="C220" s="73"/>
      <c r="D220" s="73"/>
      <c r="E220" s="73"/>
      <c r="F220" s="74"/>
      <c r="G220" s="74"/>
      <c r="I220" s="75"/>
      <c r="J220" s="75"/>
      <c r="K220" s="73"/>
      <c r="M220" s="72"/>
    </row>
    <row r="221">
      <c r="C221" s="73"/>
      <c r="D221" s="73"/>
      <c r="E221" s="73"/>
      <c r="F221" s="74"/>
      <c r="G221" s="74"/>
      <c r="I221" s="75"/>
      <c r="J221" s="75"/>
      <c r="K221" s="73"/>
      <c r="M221" s="72"/>
    </row>
    <row r="222">
      <c r="C222" s="73"/>
      <c r="D222" s="73"/>
      <c r="E222" s="73"/>
      <c r="F222" s="74"/>
      <c r="G222" s="74"/>
      <c r="I222" s="75"/>
      <c r="J222" s="75"/>
      <c r="K222" s="73"/>
      <c r="M222" s="72"/>
    </row>
    <row r="223">
      <c r="C223" s="73"/>
      <c r="D223" s="73"/>
      <c r="E223" s="73"/>
      <c r="F223" s="74"/>
      <c r="G223" s="74"/>
      <c r="I223" s="75"/>
      <c r="J223" s="75"/>
      <c r="K223" s="73"/>
      <c r="M223" s="72"/>
    </row>
    <row r="224">
      <c r="C224" s="73"/>
      <c r="D224" s="73"/>
      <c r="E224" s="73"/>
      <c r="F224" s="74"/>
      <c r="G224" s="74"/>
      <c r="I224" s="75"/>
      <c r="J224" s="75"/>
      <c r="K224" s="73"/>
      <c r="M224" s="72"/>
    </row>
    <row r="225">
      <c r="C225" s="73"/>
      <c r="D225" s="73"/>
      <c r="E225" s="73"/>
      <c r="F225" s="74"/>
      <c r="G225" s="74"/>
      <c r="I225" s="75"/>
      <c r="J225" s="75"/>
      <c r="K225" s="73"/>
      <c r="M225" s="72"/>
    </row>
    <row r="226">
      <c r="C226" s="73"/>
      <c r="D226" s="73"/>
      <c r="E226" s="73"/>
      <c r="F226" s="74"/>
      <c r="G226" s="74"/>
      <c r="I226" s="75"/>
      <c r="J226" s="75"/>
      <c r="K226" s="73"/>
      <c r="M226" s="72"/>
    </row>
    <row r="227">
      <c r="C227" s="73"/>
      <c r="D227" s="73"/>
      <c r="E227" s="73"/>
      <c r="F227" s="74"/>
      <c r="G227" s="74"/>
      <c r="I227" s="75"/>
      <c r="J227" s="75"/>
      <c r="K227" s="73"/>
      <c r="M227" s="72"/>
    </row>
    <row r="228">
      <c r="C228" s="73"/>
      <c r="D228" s="73"/>
      <c r="E228" s="73"/>
      <c r="F228" s="74"/>
      <c r="G228" s="74"/>
      <c r="I228" s="75"/>
      <c r="J228" s="75"/>
      <c r="K228" s="73"/>
      <c r="M228" s="72"/>
    </row>
    <row r="229">
      <c r="C229" s="73"/>
      <c r="D229" s="73"/>
      <c r="E229" s="73"/>
      <c r="F229" s="74"/>
      <c r="G229" s="74"/>
      <c r="I229" s="75"/>
      <c r="J229" s="75"/>
      <c r="K229" s="73"/>
      <c r="M229" s="72"/>
    </row>
    <row r="230">
      <c r="C230" s="73"/>
      <c r="D230" s="73"/>
      <c r="E230" s="73"/>
      <c r="F230" s="74"/>
      <c r="G230" s="74"/>
      <c r="I230" s="75"/>
      <c r="J230" s="75"/>
      <c r="K230" s="73"/>
      <c r="M230" s="72"/>
    </row>
    <row r="231">
      <c r="C231" s="73"/>
      <c r="D231" s="73"/>
      <c r="E231" s="73"/>
      <c r="F231" s="74"/>
      <c r="G231" s="74"/>
      <c r="I231" s="75"/>
      <c r="J231" s="75"/>
      <c r="K231" s="73"/>
      <c r="M231" s="72"/>
    </row>
    <row r="232">
      <c r="C232" s="73"/>
      <c r="D232" s="73"/>
      <c r="E232" s="73"/>
      <c r="F232" s="74"/>
      <c r="G232" s="74"/>
      <c r="I232" s="75"/>
      <c r="J232" s="75"/>
      <c r="K232" s="73"/>
      <c r="M232" s="72"/>
    </row>
    <row r="233">
      <c r="C233" s="73"/>
      <c r="D233" s="73"/>
      <c r="E233" s="73"/>
      <c r="F233" s="74"/>
      <c r="G233" s="74"/>
      <c r="I233" s="75"/>
      <c r="J233" s="75"/>
      <c r="K233" s="73"/>
      <c r="M233" s="72"/>
    </row>
    <row r="234">
      <c r="C234" s="73"/>
      <c r="D234" s="73"/>
      <c r="E234" s="73"/>
      <c r="F234" s="74"/>
      <c r="G234" s="74"/>
      <c r="I234" s="75"/>
      <c r="J234" s="75"/>
      <c r="K234" s="73"/>
      <c r="M234" s="72"/>
    </row>
    <row r="235">
      <c r="C235" s="73"/>
      <c r="D235" s="73"/>
      <c r="E235" s="73"/>
      <c r="F235" s="74"/>
      <c r="G235" s="74"/>
      <c r="I235" s="75"/>
      <c r="J235" s="75"/>
      <c r="K235" s="73"/>
      <c r="M235" s="72"/>
    </row>
    <row r="236">
      <c r="C236" s="73"/>
      <c r="D236" s="73"/>
      <c r="E236" s="73"/>
      <c r="F236" s="74"/>
      <c r="G236" s="74"/>
      <c r="I236" s="75"/>
      <c r="J236" s="75"/>
      <c r="K236" s="73"/>
      <c r="M236" s="72"/>
    </row>
    <row r="237">
      <c r="C237" s="73"/>
      <c r="D237" s="73"/>
      <c r="E237" s="73"/>
      <c r="F237" s="74"/>
      <c r="G237" s="74"/>
      <c r="I237" s="75"/>
      <c r="J237" s="75"/>
      <c r="K237" s="73"/>
      <c r="M237" s="72"/>
    </row>
    <row r="238">
      <c r="C238" s="73"/>
      <c r="D238" s="73"/>
      <c r="E238" s="73"/>
      <c r="F238" s="74"/>
      <c r="G238" s="74"/>
      <c r="I238" s="75"/>
      <c r="J238" s="75"/>
      <c r="K238" s="73"/>
      <c r="M238" s="72"/>
    </row>
    <row r="239">
      <c r="C239" s="73"/>
      <c r="D239" s="73"/>
      <c r="E239" s="73"/>
      <c r="F239" s="74"/>
      <c r="G239" s="74"/>
      <c r="I239" s="75"/>
      <c r="J239" s="75"/>
      <c r="K239" s="73"/>
      <c r="M239" s="72"/>
    </row>
  </sheetData>
  <dataValidations count="1">
    <dataValidation allowBlank="true" errorStyle="stop" showErrorMessage="true" sqref="K2:K64 K66:K74 K78:K78" type="list">
      <formula1>"进行中,已完成,延期,挂起,未开始"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1" min="1" style="0" width="9"/>
    <col collapsed="false" customWidth="true" hidden="false" max="2" min="2" style="0" width="39"/>
    <col collapsed="false" customWidth="true" hidden="false" max="3" min="3" style="0" width="9"/>
    <col collapsed="false" customWidth="true" hidden="false" max="6" min="6" style="0" width="13"/>
    <col collapsed="false" customWidth="true" hidden="false" max="7" min="7" style="0" width="6"/>
    <col collapsed="false" customWidth="true" hidden="false" max="8" min="8" style="0" width="52"/>
  </cols>
  <sheetData>
    <row r="1">
      <c r="A1" s="76" t="s">
        <v>159</v>
      </c>
      <c r="B1" s="77" t="s">
        <v>160</v>
      </c>
      <c r="C1" s="77" t="s">
        <v>161</v>
      </c>
      <c r="D1" s="77" t="s">
        <v>162</v>
      </c>
      <c r="E1" s="77" t="s">
        <v>163</v>
      </c>
      <c r="F1" s="76" t="s">
        <v>164</v>
      </c>
      <c r="G1" s="77" t="s">
        <v>165</v>
      </c>
      <c r="H1" s="77" t="s">
        <v>166</v>
      </c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</row>
    <row r="2">
      <c r="A2" s="78" t="s">
        <v>167</v>
      </c>
      <c r="B2" s="79" t="s">
        <v>168</v>
      </c>
      <c r="C2" s="78" t="s">
        <v>169</v>
      </c>
      <c r="D2" s="80">
        <v>46155</v>
      </c>
      <c r="E2" s="80">
        <v>46163</v>
      </c>
      <c r="F2" s="80">
        <v>46163</v>
      </c>
      <c r="G2" s="78" t="s">
        <v>170</v>
      </c>
    </row>
    <row r="3">
      <c r="A3" s="78" t="s">
        <v>171</v>
      </c>
      <c r="B3" s="79" t="s">
        <v>172</v>
      </c>
      <c r="C3" s="78" t="s">
        <v>173</v>
      </c>
      <c r="D3" s="80">
        <v>46160</v>
      </c>
      <c r="E3" s="80">
        <v>46175</v>
      </c>
      <c r="F3" s="80">
        <v>46175</v>
      </c>
      <c r="G3" s="78" t="s">
        <v>170</v>
      </c>
    </row>
    <row r="4">
      <c r="A4" s="78"/>
      <c r="B4" s="79" t="s">
        <v>174</v>
      </c>
      <c r="C4" s="78" t="s">
        <v>175</v>
      </c>
      <c r="D4" s="80">
        <v>46183</v>
      </c>
      <c r="E4" s="80">
        <v>46191</v>
      </c>
      <c r="F4" s="81">
        <v>46198</v>
      </c>
      <c r="G4" s="82" t="s">
        <v>170</v>
      </c>
    </row>
    <row r="5">
      <c r="A5" s="78" t="s">
        <v>176</v>
      </c>
      <c r="B5" s="83" t="s">
        <v>177</v>
      </c>
      <c r="C5" s="78" t="s">
        <v>178</v>
      </c>
      <c r="D5" s="80">
        <v>46176</v>
      </c>
      <c r="E5" s="80">
        <v>46181</v>
      </c>
      <c r="F5" s="80">
        <v>46181</v>
      </c>
      <c r="G5" s="78" t="s">
        <v>170</v>
      </c>
    </row>
    <row r="6">
      <c r="A6" s="78" t="s">
        <v>179</v>
      </c>
      <c r="B6" s="79" t="s">
        <v>180</v>
      </c>
      <c r="C6" s="78" t="s">
        <v>181</v>
      </c>
      <c r="D6" s="80">
        <v>46182</v>
      </c>
      <c r="E6" s="80">
        <v>46192</v>
      </c>
      <c r="F6" s="84"/>
      <c r="G6" s="78" t="s">
        <v>182</v>
      </c>
      <c r="H6" s="85" t="s">
        <v>183</v>
      </c>
    </row>
    <row r="7">
      <c r="A7" s="78"/>
      <c r="B7" s="79" t="s">
        <v>184</v>
      </c>
      <c r="C7" s="78" t="s">
        <v>185</v>
      </c>
      <c r="D7" s="80">
        <v>46192</v>
      </c>
      <c r="E7" s="80"/>
      <c r="F7" s="80"/>
      <c r="G7" s="82" t="s">
        <v>182</v>
      </c>
      <c r="H7" s="86"/>
    </row>
    <row r="8">
      <c r="A8" s="79" t="s">
        <v>186</v>
      </c>
      <c r="B8" s="79" t="s">
        <v>187</v>
      </c>
      <c r="C8" s="78" t="s">
        <v>188</v>
      </c>
      <c r="D8" s="80">
        <v>46174</v>
      </c>
      <c r="E8" s="80">
        <v>46175</v>
      </c>
      <c r="F8" s="80">
        <v>46175</v>
      </c>
      <c r="G8" s="78" t="s">
        <v>170</v>
      </c>
      <c r="H8" s="79" t="s">
        <v>189</v>
      </c>
    </row>
    <row r="9">
      <c r="A9" s="79"/>
      <c r="B9" s="79" t="s">
        <v>190</v>
      </c>
      <c r="C9" s="78" t="s">
        <v>191</v>
      </c>
      <c r="D9" s="80">
        <v>46175</v>
      </c>
      <c r="E9" s="80">
        <v>46208</v>
      </c>
      <c r="F9" s="84"/>
      <c r="G9" s="78" t="s">
        <v>182</v>
      </c>
    </row>
    <row customHeight="true" ht="18" r="10">
      <c r="A10" s="79"/>
      <c r="B10" s="79" t="s">
        <v>192</v>
      </c>
      <c r="C10" s="78" t="s">
        <v>193</v>
      </c>
      <c r="D10" s="84"/>
      <c r="E10" s="81">
        <v>46218</v>
      </c>
      <c r="F10" s="84"/>
      <c r="G10" s="82" t="s">
        <v>182</v>
      </c>
      <c r="H10" s="87" t="s">
        <v>194</v>
      </c>
    </row>
    <row customHeight="true" ht="18" r="11">
      <c r="A11" s="79"/>
      <c r="B11" s="79" t="s">
        <v>195</v>
      </c>
      <c r="C11" s="78" t="s">
        <v>196</v>
      </c>
      <c r="D11" s="84"/>
      <c r="E11" s="84"/>
      <c r="F11" s="84"/>
      <c r="G11" s="84"/>
    </row>
    <row customHeight="true" ht="18" r="12">
      <c r="A12" s="79"/>
      <c r="B12" s="79" t="s">
        <v>197</v>
      </c>
      <c r="C12" s="78" t="s">
        <v>198</v>
      </c>
      <c r="D12" s="84"/>
      <c r="E12" s="84"/>
      <c r="F12" s="84"/>
      <c r="G12" s="82" t="s">
        <v>170</v>
      </c>
      <c r="H12" s="87" t="s">
        <v>199</v>
      </c>
    </row>
    <row r="13">
      <c r="A13" s="78" t="s">
        <v>200</v>
      </c>
      <c r="B13" s="79" t="s">
        <v>201</v>
      </c>
      <c r="C13" s="78" t="s">
        <v>202</v>
      </c>
      <c r="D13" s="84"/>
      <c r="E13" s="84"/>
      <c r="F13" s="84"/>
      <c r="G13" s="82" t="s">
        <v>182</v>
      </c>
      <c r="H13" s="85" t="s">
        <v>183</v>
      </c>
    </row>
    <row r="14">
      <c r="A14" s="78"/>
      <c r="B14" s="79" t="s">
        <v>203</v>
      </c>
      <c r="C14" s="78" t="s">
        <v>204</v>
      </c>
      <c r="D14" s="84"/>
      <c r="E14" s="84"/>
      <c r="F14" s="84"/>
      <c r="G14" s="82" t="s">
        <v>182</v>
      </c>
      <c r="H14" s="85"/>
    </row>
    <row r="15">
      <c r="A15" s="84"/>
      <c r="C15" s="84"/>
      <c r="D15" s="84"/>
      <c r="E15" s="84"/>
      <c r="F15" s="84"/>
      <c r="G15" s="84"/>
    </row>
    <row r="16">
      <c r="A16" s="84"/>
      <c r="C16" s="84"/>
      <c r="D16" s="84"/>
      <c r="E16" s="84"/>
      <c r="F16" s="84"/>
      <c r="G16" s="84"/>
    </row>
    <row r="17">
      <c r="A17" s="84"/>
      <c r="C17" s="84"/>
      <c r="D17" s="84"/>
      <c r="E17" s="84"/>
      <c r="F17" s="84"/>
      <c r="G17" s="84"/>
    </row>
    <row r="18">
      <c r="A18" s="84"/>
      <c r="C18" s="84"/>
      <c r="D18" s="84"/>
      <c r="E18" s="84"/>
      <c r="F18" s="84"/>
      <c r="G18" s="84"/>
    </row>
    <row r="19">
      <c r="A19" s="84"/>
      <c r="C19" s="84"/>
      <c r="D19" s="84"/>
      <c r="E19" s="84"/>
      <c r="F19" s="84"/>
      <c r="G19" s="84"/>
    </row>
    <row r="20">
      <c r="A20" s="84"/>
      <c r="C20" s="84"/>
      <c r="D20" s="84"/>
      <c r="E20" s="84"/>
      <c r="F20" s="84"/>
      <c r="G20" s="84"/>
    </row>
    <row r="21">
      <c r="A21" s="84"/>
      <c r="C21" s="84"/>
      <c r="D21" s="84"/>
      <c r="E21" s="84"/>
      <c r="F21" s="84"/>
      <c r="G21" s="84"/>
    </row>
    <row r="22">
      <c r="A22" s="84"/>
      <c r="C22" s="84"/>
      <c r="D22" s="84"/>
      <c r="E22" s="84"/>
      <c r="F22" s="84"/>
      <c r="G22" s="84"/>
    </row>
    <row r="23">
      <c r="A23" s="84"/>
      <c r="C23" s="84"/>
      <c r="D23" s="84"/>
      <c r="E23" s="84"/>
      <c r="F23" s="84"/>
      <c r="G23" s="84"/>
    </row>
    <row r="24">
      <c r="A24" s="84"/>
      <c r="C24" s="84"/>
      <c r="D24" s="84"/>
      <c r="E24" s="84"/>
      <c r="F24" s="84"/>
      <c r="G24" s="84"/>
    </row>
    <row r="25">
      <c r="A25" s="84"/>
      <c r="C25" s="84"/>
      <c r="D25" s="84"/>
      <c r="E25" s="84"/>
      <c r="F25" s="84"/>
      <c r="G25" s="84"/>
    </row>
    <row r="26">
      <c r="A26" s="84"/>
      <c r="C26" s="84"/>
      <c r="D26" s="84"/>
      <c r="E26" s="84"/>
      <c r="F26" s="84"/>
      <c r="G26" s="84"/>
    </row>
    <row r="27">
      <c r="A27" s="84"/>
      <c r="C27" s="84"/>
      <c r="D27" s="84"/>
      <c r="E27" s="84"/>
      <c r="F27" s="84"/>
      <c r="G27" s="84"/>
    </row>
    <row r="28">
      <c r="A28" s="84"/>
      <c r="C28" s="84"/>
      <c r="D28" s="84"/>
      <c r="E28" s="84"/>
      <c r="F28" s="84"/>
      <c r="G28" s="84"/>
    </row>
    <row r="29">
      <c r="A29" s="84"/>
      <c r="C29" s="84"/>
      <c r="D29" s="84"/>
      <c r="E29" s="84"/>
      <c r="F29" s="84"/>
      <c r="G29" s="84"/>
    </row>
    <row r="30">
      <c r="A30" s="84"/>
      <c r="C30" s="84"/>
      <c r="D30" s="84"/>
      <c r="E30" s="84"/>
      <c r="F30" s="84"/>
      <c r="G30" s="84"/>
    </row>
    <row r="31">
      <c r="A31" s="84"/>
      <c r="C31" s="84"/>
      <c r="D31" s="84"/>
      <c r="E31" s="84"/>
      <c r="F31" s="84"/>
      <c r="G31" s="84"/>
    </row>
    <row r="32">
      <c r="A32" s="84"/>
      <c r="C32" s="84"/>
      <c r="D32" s="84"/>
      <c r="E32" s="84"/>
      <c r="F32" s="84"/>
      <c r="G32" s="84"/>
    </row>
    <row r="33">
      <c r="A33" s="84"/>
      <c r="C33" s="84"/>
      <c r="D33" s="84"/>
      <c r="E33" s="84"/>
      <c r="F33" s="84"/>
      <c r="G33" s="84"/>
    </row>
    <row r="34">
      <c r="A34" s="84"/>
      <c r="C34" s="84"/>
      <c r="D34" s="84"/>
      <c r="E34" s="84"/>
      <c r="F34" s="84"/>
      <c r="G34" s="84"/>
    </row>
    <row r="35">
      <c r="A35" s="84"/>
      <c r="C35" s="84"/>
      <c r="D35" s="84"/>
      <c r="E35" s="84"/>
      <c r="F35" s="84"/>
      <c r="G35" s="84"/>
    </row>
    <row r="36">
      <c r="A36" s="84"/>
      <c r="C36" s="84"/>
      <c r="D36" s="84"/>
      <c r="E36" s="84"/>
      <c r="F36" s="84"/>
      <c r="G36" s="84"/>
    </row>
    <row r="37">
      <c r="A37" s="84"/>
      <c r="C37" s="84"/>
      <c r="D37" s="84"/>
      <c r="E37" s="84"/>
      <c r="F37" s="84"/>
      <c r="G37" s="84"/>
    </row>
    <row r="38">
      <c r="A38" s="84"/>
      <c r="C38" s="84"/>
      <c r="D38" s="84"/>
      <c r="E38" s="84"/>
      <c r="F38" s="84"/>
      <c r="G38" s="84"/>
    </row>
    <row r="39">
      <c r="A39" s="84"/>
      <c r="C39" s="84"/>
      <c r="D39" s="84"/>
      <c r="E39" s="84"/>
      <c r="F39" s="84"/>
      <c r="G39" s="84"/>
    </row>
    <row r="40">
      <c r="A40" s="84"/>
      <c r="C40" s="84"/>
      <c r="D40" s="84"/>
      <c r="E40" s="84"/>
      <c r="F40" s="84"/>
      <c r="G40" s="84"/>
    </row>
    <row r="41">
      <c r="A41" s="84"/>
      <c r="C41" s="84"/>
      <c r="D41" s="84"/>
      <c r="E41" s="84"/>
      <c r="F41" s="84"/>
      <c r="G41" s="84"/>
    </row>
    <row r="42">
      <c r="A42" s="84"/>
      <c r="C42" s="84"/>
      <c r="D42" s="84"/>
      <c r="E42" s="84"/>
      <c r="F42" s="84"/>
      <c r="G42" s="84"/>
    </row>
    <row r="43">
      <c r="A43" s="84"/>
      <c r="C43" s="84"/>
      <c r="D43" s="84"/>
      <c r="E43" s="84"/>
      <c r="F43" s="84"/>
      <c r="G43" s="84"/>
    </row>
    <row r="44">
      <c r="A44" s="84"/>
      <c r="C44" s="84"/>
      <c r="D44" s="84"/>
      <c r="E44" s="84"/>
      <c r="F44" s="84"/>
      <c r="G44" s="84"/>
    </row>
    <row r="45">
      <c r="A45" s="84"/>
      <c r="C45" s="84"/>
      <c r="D45" s="84"/>
      <c r="E45" s="84"/>
      <c r="F45" s="84"/>
      <c r="G45" s="84"/>
    </row>
    <row r="46">
      <c r="A46" s="84"/>
      <c r="C46" s="84"/>
      <c r="D46" s="84"/>
      <c r="E46" s="84"/>
      <c r="F46" s="84"/>
      <c r="G46" s="84"/>
    </row>
    <row r="47">
      <c r="A47" s="84"/>
      <c r="C47" s="84"/>
      <c r="D47" s="84"/>
      <c r="E47" s="84"/>
      <c r="F47" s="84"/>
      <c r="G47" s="84"/>
    </row>
    <row r="48">
      <c r="A48" s="84"/>
      <c r="C48" s="84"/>
      <c r="D48" s="84"/>
      <c r="E48" s="84"/>
      <c r="F48" s="84"/>
      <c r="G48" s="84"/>
    </row>
    <row r="49">
      <c r="A49" s="84"/>
      <c r="C49" s="84"/>
      <c r="D49" s="84"/>
      <c r="E49" s="84"/>
      <c r="F49" s="84"/>
      <c r="G49" s="84"/>
    </row>
    <row r="50">
      <c r="A50" s="84"/>
      <c r="C50" s="84"/>
      <c r="D50" s="84"/>
      <c r="E50" s="84"/>
      <c r="F50" s="84"/>
      <c r="G50" s="84"/>
    </row>
    <row r="51">
      <c r="A51" s="84"/>
      <c r="C51" s="84"/>
      <c r="D51" s="84"/>
      <c r="E51" s="84"/>
      <c r="F51" s="84"/>
      <c r="G51" s="84"/>
    </row>
    <row r="52">
      <c r="A52" s="84"/>
      <c r="C52" s="84"/>
      <c r="D52" s="84"/>
      <c r="E52" s="84"/>
      <c r="F52" s="84"/>
      <c r="G52" s="84"/>
    </row>
    <row r="53">
      <c r="A53" s="84"/>
      <c r="C53" s="84"/>
      <c r="D53" s="84"/>
      <c r="E53" s="84"/>
      <c r="F53" s="84"/>
      <c r="G53" s="84"/>
    </row>
    <row r="54">
      <c r="A54" s="84"/>
      <c r="C54" s="84"/>
      <c r="D54" s="84"/>
      <c r="E54" s="84"/>
      <c r="F54" s="84"/>
      <c r="G54" s="84"/>
    </row>
    <row r="55">
      <c r="A55" s="84"/>
      <c r="C55" s="84"/>
      <c r="D55" s="84"/>
      <c r="E55" s="84"/>
      <c r="F55" s="84"/>
      <c r="G55" s="84"/>
    </row>
    <row r="56">
      <c r="A56" s="84"/>
      <c r="C56" s="84"/>
      <c r="D56" s="84"/>
      <c r="E56" s="84"/>
      <c r="F56" s="84"/>
      <c r="G56" s="84"/>
    </row>
    <row r="57">
      <c r="A57" s="84"/>
      <c r="C57" s="84"/>
      <c r="D57" s="84"/>
      <c r="E57" s="84"/>
      <c r="F57" s="84"/>
      <c r="G57" s="84"/>
    </row>
    <row r="58">
      <c r="A58" s="84"/>
      <c r="C58" s="84"/>
      <c r="D58" s="84"/>
      <c r="E58" s="84"/>
      <c r="F58" s="84"/>
      <c r="G58" s="84"/>
    </row>
    <row r="59">
      <c r="A59" s="84"/>
      <c r="C59" s="84"/>
      <c r="D59" s="84"/>
      <c r="E59" s="84"/>
      <c r="F59" s="84"/>
      <c r="G59" s="84"/>
    </row>
    <row r="60">
      <c r="A60" s="84"/>
      <c r="C60" s="84"/>
      <c r="D60" s="84"/>
      <c r="E60" s="84"/>
      <c r="F60" s="84"/>
      <c r="G60" s="84"/>
    </row>
    <row r="61">
      <c r="A61" s="84"/>
      <c r="C61" s="84"/>
      <c r="D61" s="84"/>
      <c r="E61" s="84"/>
      <c r="F61" s="84"/>
      <c r="G61" s="84"/>
    </row>
    <row r="62">
      <c r="A62" s="84"/>
      <c r="C62" s="84"/>
      <c r="D62" s="84"/>
      <c r="E62" s="84"/>
      <c r="F62" s="84"/>
      <c r="G62" s="84"/>
    </row>
    <row r="63">
      <c r="A63" s="84"/>
      <c r="C63" s="84"/>
      <c r="D63" s="84"/>
      <c r="E63" s="84"/>
      <c r="F63" s="84"/>
      <c r="G63" s="84"/>
    </row>
    <row r="64">
      <c r="A64" s="84"/>
      <c r="C64" s="84"/>
      <c r="D64" s="84"/>
      <c r="E64" s="84"/>
      <c r="F64" s="84"/>
      <c r="G64" s="84"/>
    </row>
    <row r="65">
      <c r="A65" s="84"/>
      <c r="C65" s="84"/>
      <c r="D65" s="84"/>
      <c r="E65" s="84"/>
      <c r="F65" s="84"/>
      <c r="G65" s="84"/>
    </row>
    <row r="66">
      <c r="A66" s="84"/>
      <c r="C66" s="84"/>
      <c r="D66" s="84"/>
      <c r="E66" s="84"/>
      <c r="F66" s="84"/>
      <c r="G66" s="84"/>
    </row>
    <row r="67">
      <c r="A67" s="84"/>
      <c r="C67" s="84"/>
      <c r="D67" s="84"/>
      <c r="E67" s="84"/>
      <c r="F67" s="84"/>
      <c r="G67" s="84"/>
    </row>
    <row r="68">
      <c r="A68" s="84"/>
      <c r="C68" s="84"/>
      <c r="D68" s="84"/>
      <c r="E68" s="84"/>
      <c r="F68" s="84"/>
      <c r="G68" s="84"/>
    </row>
    <row r="69">
      <c r="A69" s="84"/>
      <c r="C69" s="84"/>
      <c r="D69" s="84"/>
      <c r="E69" s="84"/>
      <c r="F69" s="84"/>
      <c r="G69" s="84"/>
    </row>
    <row r="70">
      <c r="A70" s="84"/>
      <c r="C70" s="84"/>
      <c r="D70" s="84"/>
      <c r="E70" s="84"/>
      <c r="F70" s="84"/>
      <c r="G70" s="84"/>
    </row>
    <row r="71">
      <c r="A71" s="84"/>
      <c r="C71" s="84"/>
      <c r="D71" s="84"/>
      <c r="E71" s="84"/>
      <c r="F71" s="84"/>
      <c r="G71" s="84"/>
    </row>
    <row r="72">
      <c r="A72" s="84"/>
      <c r="C72" s="84"/>
      <c r="D72" s="84"/>
      <c r="E72" s="84"/>
      <c r="F72" s="84"/>
      <c r="G72" s="84"/>
    </row>
    <row r="73">
      <c r="A73" s="84"/>
      <c r="C73" s="84"/>
      <c r="D73" s="84"/>
      <c r="E73" s="84"/>
      <c r="F73" s="84"/>
      <c r="G73" s="84"/>
    </row>
    <row r="74">
      <c r="A74" s="84"/>
      <c r="C74" s="84"/>
      <c r="D74" s="84"/>
      <c r="E74" s="84"/>
      <c r="F74" s="84"/>
      <c r="G74" s="84"/>
    </row>
    <row r="75">
      <c r="A75" s="84"/>
      <c r="C75" s="84"/>
      <c r="D75" s="84"/>
      <c r="E75" s="84"/>
      <c r="F75" s="84"/>
      <c r="G75" s="84"/>
    </row>
    <row r="76">
      <c r="A76" s="84"/>
      <c r="C76" s="84"/>
      <c r="D76" s="84"/>
      <c r="E76" s="84"/>
      <c r="F76" s="84"/>
      <c r="G76" s="84"/>
    </row>
    <row r="77">
      <c r="A77" s="84"/>
      <c r="C77" s="84"/>
      <c r="D77" s="84"/>
      <c r="E77" s="84"/>
      <c r="F77" s="84"/>
      <c r="G77" s="84"/>
    </row>
    <row r="78">
      <c r="A78" s="84"/>
      <c r="C78" s="84"/>
      <c r="D78" s="84"/>
      <c r="E78" s="84"/>
      <c r="F78" s="84"/>
      <c r="G78" s="84"/>
    </row>
    <row r="79">
      <c r="A79" s="84"/>
      <c r="C79" s="84"/>
      <c r="D79" s="84"/>
      <c r="E79" s="84"/>
      <c r="F79" s="84"/>
      <c r="G79" s="84"/>
    </row>
    <row r="80">
      <c r="A80" s="84"/>
      <c r="C80" s="84"/>
      <c r="D80" s="84"/>
      <c r="E80" s="84"/>
      <c r="F80" s="84"/>
      <c r="G80" s="84"/>
    </row>
    <row r="81">
      <c r="A81" s="84"/>
      <c r="C81" s="84"/>
      <c r="D81" s="84"/>
      <c r="E81" s="84"/>
      <c r="F81" s="84"/>
      <c r="G81" s="84"/>
    </row>
    <row r="82">
      <c r="A82" s="84"/>
      <c r="C82" s="84"/>
      <c r="D82" s="84"/>
      <c r="E82" s="84"/>
      <c r="F82" s="84"/>
      <c r="G82" s="84"/>
    </row>
    <row r="83">
      <c r="A83" s="84"/>
      <c r="C83" s="84"/>
      <c r="D83" s="84"/>
      <c r="E83" s="84"/>
      <c r="F83" s="84"/>
      <c r="G83" s="84"/>
    </row>
    <row r="84">
      <c r="A84" s="84"/>
      <c r="C84" s="84"/>
      <c r="D84" s="84"/>
      <c r="E84" s="84"/>
      <c r="F84" s="84"/>
      <c r="G84" s="84"/>
    </row>
    <row r="85">
      <c r="A85" s="84"/>
      <c r="C85" s="84"/>
      <c r="D85" s="84"/>
      <c r="E85" s="84"/>
      <c r="F85" s="84"/>
      <c r="G85" s="84"/>
    </row>
    <row r="86">
      <c r="A86" s="84"/>
      <c r="C86" s="84"/>
      <c r="D86" s="84"/>
      <c r="E86" s="84"/>
      <c r="F86" s="84"/>
      <c r="G86" s="84"/>
    </row>
    <row r="87">
      <c r="A87" s="84"/>
      <c r="C87" s="84"/>
      <c r="D87" s="84"/>
      <c r="E87" s="84"/>
      <c r="F87" s="84"/>
      <c r="G87" s="84"/>
    </row>
    <row r="88">
      <c r="A88" s="84"/>
      <c r="C88" s="84"/>
      <c r="D88" s="84"/>
      <c r="E88" s="84"/>
      <c r="F88" s="84"/>
      <c r="G88" s="84"/>
    </row>
    <row r="89">
      <c r="A89" s="84"/>
      <c r="C89" s="84"/>
      <c r="D89" s="84"/>
      <c r="E89" s="84"/>
      <c r="F89" s="84"/>
      <c r="G89" s="84"/>
    </row>
    <row r="90">
      <c r="A90" s="84"/>
      <c r="C90" s="84"/>
      <c r="D90" s="84"/>
      <c r="E90" s="84"/>
      <c r="F90" s="84"/>
      <c r="G90" s="84"/>
    </row>
    <row r="91">
      <c r="A91" s="84"/>
      <c r="C91" s="84"/>
      <c r="D91" s="84"/>
      <c r="E91" s="84"/>
      <c r="F91" s="84"/>
      <c r="G91" s="84"/>
    </row>
    <row r="92">
      <c r="A92" s="84"/>
      <c r="C92" s="84"/>
      <c r="D92" s="84"/>
      <c r="E92" s="84"/>
      <c r="F92" s="84"/>
      <c r="G92" s="84"/>
    </row>
    <row r="93">
      <c r="A93" s="84"/>
      <c r="C93" s="84"/>
      <c r="D93" s="84"/>
      <c r="E93" s="84"/>
      <c r="F93" s="84"/>
      <c r="G93" s="84"/>
    </row>
    <row r="94">
      <c r="A94" s="84"/>
      <c r="C94" s="84"/>
      <c r="D94" s="84"/>
      <c r="E94" s="84"/>
      <c r="F94" s="84"/>
      <c r="G94" s="84"/>
    </row>
    <row r="95">
      <c r="A95" s="84"/>
      <c r="C95" s="84"/>
      <c r="D95" s="84"/>
      <c r="E95" s="84"/>
      <c r="F95" s="84"/>
      <c r="G95" s="84"/>
    </row>
    <row r="96">
      <c r="A96" s="84"/>
      <c r="C96" s="84"/>
      <c r="D96" s="84"/>
      <c r="E96" s="84"/>
      <c r="F96" s="84"/>
      <c r="G96" s="84"/>
    </row>
    <row r="97">
      <c r="A97" s="84"/>
      <c r="C97" s="84"/>
      <c r="D97" s="84"/>
      <c r="E97" s="84"/>
      <c r="F97" s="84"/>
      <c r="G97" s="84"/>
    </row>
    <row r="98">
      <c r="A98" s="84"/>
      <c r="C98" s="84"/>
      <c r="D98" s="84"/>
      <c r="E98" s="84"/>
      <c r="F98" s="84"/>
      <c r="G98" s="84"/>
    </row>
    <row r="99">
      <c r="A99" s="84"/>
      <c r="C99" s="84"/>
      <c r="D99" s="84"/>
      <c r="E99" s="84"/>
      <c r="F99" s="84"/>
      <c r="G99" s="84"/>
    </row>
    <row r="100">
      <c r="A100" s="84"/>
      <c r="C100" s="84"/>
      <c r="D100" s="84"/>
      <c r="E100" s="84"/>
      <c r="F100" s="84"/>
      <c r="G100" s="84"/>
    </row>
    <row r="101">
      <c r="A101" s="84"/>
      <c r="C101" s="84"/>
      <c r="D101" s="84"/>
      <c r="E101" s="84"/>
      <c r="F101" s="84"/>
      <c r="G101" s="84"/>
    </row>
    <row r="102">
      <c r="A102" s="84"/>
      <c r="C102" s="84"/>
      <c r="D102" s="84"/>
      <c r="E102" s="84"/>
      <c r="F102" s="84"/>
      <c r="G102" s="84"/>
    </row>
    <row r="103">
      <c r="A103" s="84"/>
      <c r="C103" s="84"/>
      <c r="D103" s="84"/>
      <c r="E103" s="84"/>
      <c r="F103" s="84"/>
      <c r="G103" s="84"/>
    </row>
    <row r="104">
      <c r="A104" s="84"/>
      <c r="C104" s="84"/>
      <c r="D104" s="84"/>
      <c r="E104" s="84"/>
      <c r="F104" s="84"/>
      <c r="G104" s="84"/>
    </row>
    <row r="105">
      <c r="A105" s="84"/>
      <c r="C105" s="84"/>
      <c r="D105" s="84"/>
      <c r="E105" s="84"/>
      <c r="F105" s="84"/>
      <c r="G105" s="84"/>
    </row>
    <row r="106">
      <c r="A106" s="84"/>
      <c r="C106" s="84"/>
      <c r="D106" s="84"/>
      <c r="E106" s="84"/>
      <c r="F106" s="84"/>
      <c r="G106" s="84"/>
    </row>
    <row r="107">
      <c r="A107" s="84"/>
      <c r="C107" s="84"/>
      <c r="D107" s="84"/>
      <c r="E107" s="84"/>
      <c r="F107" s="84"/>
      <c r="G107" s="84"/>
    </row>
    <row r="108">
      <c r="A108" s="84"/>
      <c r="C108" s="84"/>
      <c r="D108" s="84"/>
      <c r="E108" s="84"/>
      <c r="F108" s="84"/>
      <c r="G108" s="84"/>
    </row>
    <row r="109">
      <c r="A109" s="84"/>
      <c r="C109" s="84"/>
      <c r="D109" s="84"/>
      <c r="E109" s="84"/>
      <c r="F109" s="84"/>
      <c r="G109" s="84"/>
    </row>
    <row r="110">
      <c r="A110" s="84"/>
      <c r="C110" s="84"/>
      <c r="D110" s="84"/>
      <c r="E110" s="84"/>
      <c r="F110" s="84"/>
      <c r="G110" s="84"/>
    </row>
    <row r="111">
      <c r="A111" s="84"/>
      <c r="C111" s="84"/>
      <c r="D111" s="84"/>
      <c r="E111" s="84"/>
      <c r="F111" s="84"/>
      <c r="G111" s="84"/>
    </row>
    <row r="112">
      <c r="A112" s="84"/>
      <c r="C112" s="84"/>
      <c r="D112" s="84"/>
      <c r="E112" s="84"/>
      <c r="F112" s="84"/>
      <c r="G112" s="84"/>
    </row>
    <row r="113">
      <c r="A113" s="84"/>
      <c r="C113" s="84"/>
      <c r="D113" s="84"/>
      <c r="E113" s="84"/>
      <c r="F113" s="84"/>
      <c r="G113" s="84"/>
    </row>
    <row r="114">
      <c r="A114" s="84"/>
      <c r="C114" s="84"/>
      <c r="D114" s="84"/>
      <c r="E114" s="84"/>
      <c r="F114" s="84"/>
      <c r="G114" s="84"/>
    </row>
    <row r="115">
      <c r="A115" s="84"/>
      <c r="C115" s="84"/>
      <c r="D115" s="84"/>
      <c r="E115" s="84"/>
      <c r="F115" s="84"/>
      <c r="G115" s="84"/>
    </row>
    <row r="116">
      <c r="A116" s="84"/>
      <c r="C116" s="84"/>
      <c r="D116" s="84"/>
      <c r="E116" s="84"/>
      <c r="F116" s="84"/>
      <c r="G116" s="84"/>
    </row>
    <row r="117">
      <c r="A117" s="84"/>
      <c r="C117" s="84"/>
      <c r="D117" s="84"/>
      <c r="E117" s="84"/>
      <c r="F117" s="84"/>
      <c r="G117" s="84"/>
    </row>
    <row r="118">
      <c r="A118" s="84"/>
      <c r="C118" s="84"/>
      <c r="D118" s="84"/>
      <c r="E118" s="84"/>
      <c r="F118" s="84"/>
      <c r="G118" s="84"/>
    </row>
    <row r="119">
      <c r="A119" s="84"/>
      <c r="C119" s="84"/>
      <c r="D119" s="84"/>
      <c r="E119" s="84"/>
      <c r="F119" s="84"/>
      <c r="G119" s="84"/>
    </row>
    <row r="120">
      <c r="A120" s="84"/>
      <c r="C120" s="84"/>
      <c r="D120" s="84"/>
      <c r="E120" s="84"/>
      <c r="F120" s="84"/>
      <c r="G120" s="84"/>
    </row>
    <row r="121">
      <c r="A121" s="84"/>
      <c r="C121" s="84"/>
      <c r="D121" s="84"/>
      <c r="E121" s="84"/>
      <c r="F121" s="84"/>
      <c r="G121" s="84"/>
    </row>
    <row r="122">
      <c r="A122" s="84"/>
      <c r="C122" s="84"/>
      <c r="D122" s="84"/>
      <c r="E122" s="84"/>
      <c r="F122" s="84"/>
      <c r="G122" s="84"/>
    </row>
    <row r="123">
      <c r="A123" s="84"/>
      <c r="C123" s="84"/>
      <c r="D123" s="84"/>
      <c r="E123" s="84"/>
      <c r="F123" s="84"/>
      <c r="G123" s="84"/>
    </row>
    <row r="124">
      <c r="A124" s="84"/>
      <c r="C124" s="84"/>
      <c r="D124" s="84"/>
      <c r="E124" s="84"/>
      <c r="F124" s="84"/>
      <c r="G124" s="84"/>
    </row>
    <row r="125">
      <c r="A125" s="84"/>
      <c r="C125" s="84"/>
      <c r="D125" s="84"/>
      <c r="E125" s="84"/>
      <c r="F125" s="84"/>
      <c r="G125" s="84"/>
    </row>
    <row r="126">
      <c r="A126" s="84"/>
      <c r="C126" s="84"/>
      <c r="D126" s="84"/>
      <c r="E126" s="84"/>
      <c r="F126" s="84"/>
      <c r="G126" s="84"/>
    </row>
    <row r="127">
      <c r="A127" s="84"/>
      <c r="C127" s="84"/>
      <c r="D127" s="84"/>
      <c r="E127" s="84"/>
      <c r="F127" s="84"/>
      <c r="G127" s="84"/>
    </row>
    <row r="128">
      <c r="A128" s="84"/>
      <c r="C128" s="84"/>
      <c r="D128" s="84"/>
      <c r="E128" s="84"/>
      <c r="F128" s="84"/>
      <c r="G128" s="84"/>
    </row>
    <row r="129">
      <c r="A129" s="84"/>
      <c r="C129" s="84"/>
      <c r="D129" s="84"/>
      <c r="E129" s="84"/>
      <c r="F129" s="84"/>
      <c r="G129" s="84"/>
    </row>
    <row r="130">
      <c r="A130" s="84"/>
      <c r="C130" s="84"/>
      <c r="D130" s="84"/>
      <c r="E130" s="84"/>
      <c r="F130" s="84"/>
      <c r="G130" s="84"/>
    </row>
    <row r="131">
      <c r="A131" s="84"/>
      <c r="C131" s="84"/>
      <c r="D131" s="84"/>
      <c r="E131" s="84"/>
      <c r="F131" s="84"/>
      <c r="G131" s="84"/>
    </row>
    <row r="132">
      <c r="A132" s="84"/>
      <c r="C132" s="84"/>
      <c r="D132" s="84"/>
      <c r="E132" s="84"/>
      <c r="F132" s="84"/>
      <c r="G132" s="84"/>
    </row>
    <row r="133">
      <c r="A133" s="84"/>
      <c r="C133" s="84"/>
      <c r="D133" s="84"/>
      <c r="E133" s="84"/>
      <c r="F133" s="84"/>
      <c r="G133" s="84"/>
    </row>
    <row r="134">
      <c r="A134" s="84"/>
      <c r="C134" s="84"/>
      <c r="D134" s="84"/>
      <c r="E134" s="84"/>
      <c r="F134" s="84"/>
      <c r="G134" s="84"/>
    </row>
    <row r="135">
      <c r="A135" s="84"/>
      <c r="C135" s="84"/>
      <c r="D135" s="84"/>
      <c r="E135" s="84"/>
      <c r="F135" s="84"/>
      <c r="G135" s="84"/>
    </row>
    <row r="136">
      <c r="A136" s="84"/>
      <c r="C136" s="84"/>
      <c r="D136" s="84"/>
      <c r="E136" s="84"/>
      <c r="F136" s="84"/>
      <c r="G136" s="84"/>
    </row>
    <row r="137">
      <c r="A137" s="84"/>
      <c r="C137" s="84"/>
      <c r="D137" s="84"/>
      <c r="E137" s="84"/>
      <c r="F137" s="84"/>
      <c r="G137" s="84"/>
    </row>
    <row r="138">
      <c r="A138" s="84"/>
      <c r="C138" s="84"/>
      <c r="D138" s="84"/>
      <c r="E138" s="84"/>
      <c r="F138" s="84"/>
      <c r="G138" s="84"/>
    </row>
    <row r="139">
      <c r="A139" s="84"/>
      <c r="C139" s="84"/>
      <c r="D139" s="84"/>
      <c r="E139" s="84"/>
      <c r="F139" s="84"/>
      <c r="G139" s="84"/>
    </row>
    <row r="140">
      <c r="A140" s="84"/>
      <c r="C140" s="84"/>
      <c r="D140" s="84"/>
      <c r="E140" s="84"/>
      <c r="F140" s="84"/>
      <c r="G140" s="84"/>
    </row>
    <row r="141">
      <c r="A141" s="84"/>
      <c r="C141" s="84"/>
      <c r="D141" s="84"/>
      <c r="E141" s="84"/>
      <c r="F141" s="84"/>
      <c r="G141" s="84"/>
    </row>
    <row r="142">
      <c r="A142" s="84"/>
      <c r="C142" s="84"/>
      <c r="D142" s="84"/>
      <c r="E142" s="84"/>
      <c r="F142" s="84"/>
      <c r="G142" s="84"/>
    </row>
    <row r="143">
      <c r="A143" s="84"/>
      <c r="C143" s="84"/>
      <c r="D143" s="84"/>
      <c r="E143" s="84"/>
      <c r="F143" s="84"/>
      <c r="G143" s="84"/>
    </row>
    <row r="144">
      <c r="A144" s="84"/>
      <c r="C144" s="84"/>
      <c r="D144" s="84"/>
      <c r="E144" s="84"/>
      <c r="F144" s="84"/>
      <c r="G144" s="84"/>
    </row>
    <row r="145">
      <c r="A145" s="84"/>
      <c r="C145" s="84"/>
      <c r="D145" s="84"/>
      <c r="E145" s="84"/>
      <c r="F145" s="84"/>
      <c r="G145" s="84"/>
    </row>
    <row r="146">
      <c r="A146" s="84"/>
      <c r="C146" s="84"/>
      <c r="D146" s="84"/>
      <c r="E146" s="84"/>
      <c r="F146" s="84"/>
      <c r="G146" s="84"/>
    </row>
    <row r="147">
      <c r="A147" s="84"/>
      <c r="C147" s="84"/>
      <c r="D147" s="84"/>
      <c r="E147" s="84"/>
      <c r="F147" s="84"/>
      <c r="G147" s="84"/>
    </row>
    <row r="148">
      <c r="A148" s="84"/>
      <c r="C148" s="84"/>
      <c r="D148" s="84"/>
      <c r="E148" s="84"/>
      <c r="F148" s="84"/>
      <c r="G148" s="84"/>
    </row>
    <row r="149">
      <c r="A149" s="84"/>
      <c r="C149" s="84"/>
      <c r="D149" s="84"/>
      <c r="E149" s="84"/>
      <c r="F149" s="84"/>
      <c r="G149" s="84"/>
    </row>
    <row r="150">
      <c r="A150" s="84"/>
      <c r="C150" s="84"/>
      <c r="D150" s="84"/>
      <c r="E150" s="84"/>
      <c r="F150" s="84"/>
      <c r="G150" s="84"/>
    </row>
    <row r="151">
      <c r="A151" s="84"/>
      <c r="C151" s="84"/>
      <c r="D151" s="84"/>
      <c r="E151" s="84"/>
      <c r="F151" s="84"/>
      <c r="G151" s="84"/>
    </row>
    <row r="152">
      <c r="A152" s="84"/>
      <c r="C152" s="84"/>
      <c r="D152" s="84"/>
      <c r="E152" s="84"/>
      <c r="F152" s="84"/>
      <c r="G152" s="84"/>
    </row>
    <row r="153">
      <c r="A153" s="84"/>
      <c r="C153" s="84"/>
      <c r="D153" s="84"/>
      <c r="E153" s="84"/>
      <c r="F153" s="84"/>
      <c r="G153" s="84"/>
    </row>
    <row r="154">
      <c r="A154" s="84"/>
      <c r="C154" s="84"/>
      <c r="D154" s="84"/>
      <c r="E154" s="84"/>
      <c r="F154" s="84"/>
      <c r="G154" s="84"/>
    </row>
    <row r="155">
      <c r="A155" s="84"/>
      <c r="C155" s="84"/>
      <c r="D155" s="84"/>
      <c r="E155" s="84"/>
      <c r="F155" s="84"/>
      <c r="G155" s="84"/>
    </row>
    <row r="156">
      <c r="A156" s="84"/>
      <c r="C156" s="84"/>
      <c r="D156" s="84"/>
      <c r="E156" s="84"/>
      <c r="F156" s="84"/>
      <c r="G156" s="84"/>
    </row>
    <row r="157">
      <c r="A157" s="84"/>
      <c r="C157" s="84"/>
      <c r="D157" s="84"/>
      <c r="E157" s="84"/>
      <c r="F157" s="84"/>
      <c r="G157" s="84"/>
    </row>
    <row r="158">
      <c r="A158" s="84"/>
      <c r="C158" s="84"/>
      <c r="D158" s="84"/>
      <c r="E158" s="84"/>
      <c r="F158" s="84"/>
      <c r="G158" s="84"/>
    </row>
    <row r="159">
      <c r="A159" s="84"/>
      <c r="C159" s="84"/>
      <c r="D159" s="84"/>
      <c r="E159" s="84"/>
      <c r="F159" s="84"/>
      <c r="G159" s="84"/>
    </row>
    <row r="160">
      <c r="A160" s="84"/>
      <c r="C160" s="84"/>
      <c r="D160" s="84"/>
      <c r="E160" s="84"/>
      <c r="F160" s="84"/>
      <c r="G160" s="84"/>
    </row>
    <row r="161">
      <c r="A161" s="84"/>
      <c r="C161" s="84"/>
      <c r="D161" s="84"/>
      <c r="E161" s="84"/>
      <c r="F161" s="84"/>
      <c r="G161" s="84"/>
    </row>
    <row r="162">
      <c r="A162" s="84"/>
      <c r="C162" s="84"/>
      <c r="D162" s="84"/>
      <c r="E162" s="84"/>
      <c r="F162" s="84"/>
      <c r="G162" s="84"/>
    </row>
    <row r="163">
      <c r="A163" s="84"/>
      <c r="C163" s="84"/>
      <c r="D163" s="84"/>
      <c r="E163" s="84"/>
      <c r="F163" s="84"/>
      <c r="G163" s="84"/>
    </row>
    <row r="164">
      <c r="A164" s="84"/>
      <c r="C164" s="84"/>
      <c r="D164" s="84"/>
      <c r="E164" s="84"/>
      <c r="F164" s="84"/>
      <c r="G164" s="84"/>
    </row>
    <row r="165">
      <c r="A165" s="84"/>
      <c r="C165" s="84"/>
      <c r="D165" s="84"/>
      <c r="E165" s="84"/>
      <c r="F165" s="84"/>
      <c r="G165" s="84"/>
    </row>
    <row r="166">
      <c r="A166" s="84"/>
      <c r="C166" s="84"/>
      <c r="D166" s="84"/>
      <c r="E166" s="84"/>
      <c r="F166" s="84"/>
      <c r="G166" s="84"/>
    </row>
    <row r="167">
      <c r="A167" s="84"/>
      <c r="C167" s="84"/>
      <c r="D167" s="84"/>
      <c r="E167" s="84"/>
      <c r="F167" s="84"/>
      <c r="G167" s="84"/>
    </row>
    <row r="168">
      <c r="A168" s="84"/>
      <c r="C168" s="84"/>
      <c r="D168" s="84"/>
      <c r="E168" s="84"/>
      <c r="F168" s="84"/>
      <c r="G168" s="84"/>
    </row>
    <row r="169">
      <c r="A169" s="84"/>
      <c r="C169" s="84"/>
      <c r="D169" s="84"/>
      <c r="E169" s="84"/>
      <c r="F169" s="84"/>
      <c r="G169" s="84"/>
    </row>
    <row r="170">
      <c r="A170" s="84"/>
      <c r="C170" s="84"/>
      <c r="D170" s="84"/>
      <c r="E170" s="84"/>
      <c r="F170" s="84"/>
      <c r="G170" s="84"/>
    </row>
    <row r="171">
      <c r="A171" s="84"/>
      <c r="C171" s="84"/>
      <c r="D171" s="84"/>
      <c r="E171" s="84"/>
      <c r="F171" s="84"/>
      <c r="G171" s="84"/>
    </row>
    <row r="172">
      <c r="A172" s="84"/>
      <c r="C172" s="84"/>
      <c r="D172" s="84"/>
      <c r="E172" s="84"/>
      <c r="F172" s="84"/>
      <c r="G172" s="84"/>
    </row>
    <row r="173">
      <c r="A173" s="84"/>
      <c r="C173" s="84"/>
      <c r="D173" s="84"/>
      <c r="E173" s="84"/>
      <c r="F173" s="84"/>
      <c r="G173" s="84"/>
    </row>
    <row r="174">
      <c r="A174" s="84"/>
      <c r="C174" s="84"/>
      <c r="D174" s="84"/>
      <c r="E174" s="84"/>
      <c r="F174" s="84"/>
      <c r="G174" s="84"/>
    </row>
    <row r="175">
      <c r="A175" s="84"/>
      <c r="C175" s="84"/>
      <c r="D175" s="84"/>
      <c r="E175" s="84"/>
      <c r="F175" s="84"/>
      <c r="G175" s="84"/>
    </row>
    <row r="176">
      <c r="A176" s="84"/>
      <c r="C176" s="84"/>
      <c r="D176" s="84"/>
      <c r="E176" s="84"/>
      <c r="F176" s="84"/>
      <c r="G176" s="84"/>
    </row>
    <row r="177">
      <c r="A177" s="84"/>
      <c r="C177" s="84"/>
      <c r="D177" s="84"/>
      <c r="E177" s="84"/>
      <c r="F177" s="84"/>
      <c r="G177" s="84"/>
    </row>
    <row r="178">
      <c r="A178" s="84"/>
      <c r="C178" s="84"/>
      <c r="D178" s="84"/>
      <c r="E178" s="84"/>
      <c r="F178" s="84"/>
      <c r="G178" s="84"/>
    </row>
    <row r="179">
      <c r="A179" s="84"/>
      <c r="C179" s="84"/>
      <c r="D179" s="84"/>
      <c r="E179" s="84"/>
      <c r="F179" s="84"/>
      <c r="G179" s="84"/>
    </row>
    <row r="180">
      <c r="A180" s="84"/>
      <c r="C180" s="84"/>
      <c r="D180" s="84"/>
      <c r="E180" s="84"/>
      <c r="F180" s="84"/>
      <c r="G180" s="84"/>
    </row>
    <row r="181">
      <c r="A181" s="84"/>
      <c r="C181" s="84"/>
      <c r="D181" s="84"/>
      <c r="E181" s="84"/>
      <c r="F181" s="84"/>
      <c r="G181" s="84"/>
    </row>
    <row r="182">
      <c r="A182" s="84"/>
      <c r="C182" s="84"/>
      <c r="D182" s="84"/>
      <c r="E182" s="84"/>
      <c r="F182" s="84"/>
      <c r="G182" s="84"/>
    </row>
    <row r="183">
      <c r="A183" s="84"/>
      <c r="C183" s="84"/>
      <c r="D183" s="84"/>
      <c r="E183" s="84"/>
      <c r="F183" s="84"/>
      <c r="G183" s="84"/>
    </row>
    <row r="184">
      <c r="A184" s="84"/>
      <c r="C184" s="84"/>
      <c r="D184" s="84"/>
      <c r="E184" s="84"/>
      <c r="F184" s="84"/>
      <c r="G184" s="84"/>
    </row>
    <row r="185">
      <c r="A185" s="84"/>
      <c r="C185" s="84"/>
      <c r="D185" s="84"/>
      <c r="E185" s="84"/>
      <c r="F185" s="84"/>
      <c r="G185" s="84"/>
    </row>
    <row r="186">
      <c r="A186" s="84"/>
      <c r="C186" s="84"/>
      <c r="D186" s="84"/>
      <c r="E186" s="84"/>
      <c r="F186" s="84"/>
      <c r="G186" s="84"/>
    </row>
    <row r="187">
      <c r="A187" s="84"/>
      <c r="C187" s="84"/>
      <c r="D187" s="84"/>
      <c r="E187" s="84"/>
      <c r="F187" s="84"/>
      <c r="G187" s="84"/>
    </row>
    <row r="188">
      <c r="A188" s="84"/>
      <c r="C188" s="84"/>
      <c r="D188" s="84"/>
      <c r="E188" s="84"/>
      <c r="F188" s="84"/>
      <c r="G188" s="84"/>
    </row>
    <row r="189">
      <c r="A189" s="84"/>
      <c r="C189" s="84"/>
      <c r="D189" s="84"/>
      <c r="E189" s="84"/>
      <c r="F189" s="84"/>
      <c r="G189" s="84"/>
    </row>
    <row r="190">
      <c r="A190" s="84"/>
      <c r="C190" s="84"/>
      <c r="D190" s="84"/>
      <c r="E190" s="84"/>
      <c r="F190" s="84"/>
      <c r="G190" s="84"/>
    </row>
    <row r="191">
      <c r="A191" s="84"/>
      <c r="C191" s="84"/>
      <c r="D191" s="84"/>
      <c r="E191" s="84"/>
      <c r="F191" s="84"/>
      <c r="G191" s="84"/>
    </row>
    <row r="192">
      <c r="A192" s="84"/>
      <c r="C192" s="84"/>
      <c r="D192" s="84"/>
      <c r="E192" s="84"/>
      <c r="F192" s="84"/>
      <c r="G192" s="84"/>
    </row>
    <row r="193">
      <c r="A193" s="84"/>
      <c r="C193" s="84"/>
      <c r="D193" s="84"/>
      <c r="E193" s="84"/>
      <c r="F193" s="84"/>
      <c r="G193" s="84"/>
    </row>
    <row r="194">
      <c r="A194" s="84"/>
      <c r="C194" s="84"/>
      <c r="D194" s="84"/>
      <c r="E194" s="84"/>
      <c r="F194" s="84"/>
      <c r="G194" s="84"/>
    </row>
    <row r="195">
      <c r="A195" s="84"/>
      <c r="C195" s="84"/>
      <c r="D195" s="84"/>
      <c r="E195" s="84"/>
      <c r="F195" s="84"/>
      <c r="G195" s="84"/>
    </row>
    <row r="196">
      <c r="A196" s="84"/>
      <c r="C196" s="84"/>
      <c r="D196" s="84"/>
      <c r="E196" s="84"/>
      <c r="F196" s="84"/>
      <c r="G196" s="84"/>
    </row>
    <row r="197">
      <c r="A197" s="84"/>
      <c r="C197" s="84"/>
      <c r="D197" s="84"/>
      <c r="E197" s="84"/>
      <c r="F197" s="84"/>
      <c r="G197" s="84"/>
    </row>
    <row r="198">
      <c r="A198" s="84"/>
      <c r="C198" s="84"/>
      <c r="D198" s="84"/>
      <c r="E198" s="84"/>
      <c r="F198" s="84"/>
      <c r="G198" s="84"/>
    </row>
    <row r="199">
      <c r="A199" s="84"/>
      <c r="C199" s="84"/>
      <c r="D199" s="84"/>
      <c r="E199" s="84"/>
      <c r="F199" s="84"/>
      <c r="G199" s="84"/>
    </row>
    <row r="200">
      <c r="A200" s="84"/>
      <c r="C200" s="84"/>
      <c r="D200" s="84"/>
      <c r="E200" s="84"/>
      <c r="F200" s="84"/>
      <c r="G200" s="84"/>
    </row>
    <row r="201">
      <c r="A201" s="84"/>
      <c r="C201" s="84"/>
      <c r="D201" s="84"/>
      <c r="E201" s="84"/>
      <c r="F201" s="84"/>
      <c r="G201" s="84"/>
    </row>
    <row r="202">
      <c r="A202" s="84"/>
      <c r="C202" s="84"/>
      <c r="D202" s="84"/>
      <c r="E202" s="84"/>
      <c r="F202" s="84"/>
      <c r="G202" s="84"/>
    </row>
    <row r="203">
      <c r="A203" s="84"/>
      <c r="C203" s="84"/>
      <c r="D203" s="84"/>
      <c r="E203" s="84"/>
      <c r="F203" s="84"/>
      <c r="G203" s="84"/>
    </row>
    <row r="204">
      <c r="A204" s="84"/>
      <c r="C204" s="84"/>
      <c r="D204" s="84"/>
      <c r="E204" s="84"/>
      <c r="F204" s="84"/>
      <c r="G204" s="84"/>
    </row>
    <row r="205">
      <c r="A205" s="84"/>
      <c r="C205" s="84"/>
      <c r="D205" s="84"/>
      <c r="E205" s="84"/>
      <c r="F205" s="84"/>
      <c r="G205" s="84"/>
    </row>
    <row r="206">
      <c r="A206" s="84"/>
      <c r="C206" s="84"/>
      <c r="D206" s="84"/>
      <c r="E206" s="84"/>
      <c r="F206" s="84"/>
      <c r="G206" s="84"/>
    </row>
  </sheetData>
  <mergeCells>
    <mergeCell ref="A3:A4"/>
    <mergeCell ref="A6:A7"/>
    <mergeCell ref="A13:A14"/>
    <mergeCell ref="A8:A12"/>
    <mergeCell ref="H6:H7"/>
    <mergeCell ref="H13:H14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